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sesina\Documents\repo\"/>
    </mc:Choice>
  </mc:AlternateContent>
  <xr:revisionPtr revIDLastSave="0" documentId="13_ncr:1_{76F386D9-0E66-45CE-B483-6B85CD337A4E}" xr6:coauthVersionLast="47" xr6:coauthVersionMax="47" xr10:uidLastSave="{00000000-0000-0000-0000-000000000000}"/>
  <bookViews>
    <workbookView xWindow="28680" yWindow="-120" windowWidth="29040" windowHeight="15720" xr2:uid="{00000000-000D-0000-FFFF-FFFF00000000}"/>
  </bookViews>
  <sheets>
    <sheet name="PRETRAINED_ON_TEST" sheetId="1" r:id="rId1"/>
    <sheet name="EXP_ON_EVA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I4" i="1"/>
  <c r="M4" i="1"/>
  <c r="M3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I3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</calcChain>
</file>

<file path=xl/sharedStrings.xml><?xml version="1.0" encoding="utf-8"?>
<sst xmlns="http://schemas.openxmlformats.org/spreadsheetml/2006/main" count="310" uniqueCount="74">
  <si>
    <t>Model</t>
  </si>
  <si>
    <t>TrainedOn</t>
  </si>
  <si>
    <t>Doc Repr</t>
  </si>
  <si>
    <t>all-mpnet-base-v2</t>
  </si>
  <si>
    <t>paraphrase-multilingual-mpnet-base-v2</t>
  </si>
  <si>
    <t>all-MiniLM-L12-v2</t>
  </si>
  <si>
    <t>paraphrase-multilingual-MiniLM-L12-v2</t>
  </si>
  <si>
    <t>isMultilingual</t>
  </si>
  <si>
    <t>Text_en</t>
  </si>
  <si>
    <t>Text_seq</t>
  </si>
  <si>
    <t>Text_para</t>
  </si>
  <si>
    <t>-</t>
  </si>
  <si>
    <t>QUERY_EN MRR@10</t>
  </si>
  <si>
    <t>QUERY_FR MRR@10</t>
  </si>
  <si>
    <t>QUERY_EN Recall@3</t>
  </si>
  <si>
    <t>QUERY_FR Recall@3</t>
  </si>
  <si>
    <t>On average, what rank does the relevant doc appear at? 1/rank</t>
  </si>
  <si>
    <t>What is the rate at which the relevant document appears in the top 3 results?</t>
  </si>
  <si>
    <t>Alibaba-NLP/gte-multilingual-base</t>
  </si>
  <si>
    <t>Embedding Dim</t>
  </si>
  <si>
    <t>Alibaba-NLP/gte-base-en-v1.5</t>
  </si>
  <si>
    <t>MRR@10</t>
  </si>
  <si>
    <t>Recall@3</t>
  </si>
  <si>
    <t>Exp Name</t>
  </si>
  <si>
    <t>MixLang</t>
  </si>
  <si>
    <t>QUERY MRR@10</t>
  </si>
  <si>
    <t>Selected</t>
  </si>
  <si>
    <t>mnrl</t>
  </si>
  <si>
    <t>(Query_en, Text_en)</t>
  </si>
  <si>
    <t>mnrl_lr5e5</t>
  </si>
  <si>
    <t>mnrl_b64</t>
  </si>
  <si>
    <t>*</t>
  </si>
  <si>
    <t>mnrl_b64w64lr1e5</t>
  </si>
  <si>
    <t>gist_b64w64lr1e5</t>
  </si>
  <si>
    <t>gist_b64w64lr5e6</t>
  </si>
  <si>
    <t>gist_b64</t>
  </si>
  <si>
    <t>mnrl_b64w64</t>
  </si>
  <si>
    <t>mnrl_b64w128</t>
  </si>
  <si>
    <t>gist</t>
  </si>
  <si>
    <t>gist-ms2048</t>
  </si>
  <si>
    <t>(Query_*, Text_seq)</t>
  </si>
  <si>
    <t>mnrl-lr5e5</t>
  </si>
  <si>
    <t>mnrl-b64</t>
  </si>
  <si>
    <t>mnrl-b64ms1024</t>
  </si>
  <si>
    <t>(Query_*, Text_para)</t>
  </si>
  <si>
    <t>mnrl-ms2048</t>
  </si>
  <si>
    <t>gist-b64ms1024</t>
  </si>
  <si>
    <t>gte-base-en-v1.5</t>
  </si>
  <si>
    <t>TrainConfig</t>
  </si>
  <si>
    <t>mnrl-b16</t>
  </si>
  <si>
    <t>gist-b16</t>
  </si>
  <si>
    <t>Default Seq Len</t>
  </si>
  <si>
    <t>mnrl-sq512</t>
  </si>
  <si>
    <t>mnrl-sq512ms2048</t>
  </si>
  <si>
    <t>gist-sq512</t>
  </si>
  <si>
    <t>gte-multilingual-base</t>
  </si>
  <si>
    <t>gist-sq512ms2048</t>
  </si>
  <si>
    <t>mnrl-sq512ms1024b64</t>
  </si>
  <si>
    <t>gist-sq513</t>
  </si>
  <si>
    <t>mnrl-sq512b64ms1024</t>
  </si>
  <si>
    <t>mnrl-sq512b64ms2048</t>
  </si>
  <si>
    <t>EN-FR</t>
  </si>
  <si>
    <t>EN-FR2</t>
  </si>
  <si>
    <t>mnrl_sq512ms2048</t>
  </si>
  <si>
    <t>mnrl-sq1024b16ms1024</t>
  </si>
  <si>
    <t>2026_08_11-gist-sq512</t>
  </si>
  <si>
    <t>2026_08_11-mnrl-sq1024</t>
  </si>
  <si>
    <t>2026_08_11-mnrl-sq1024ms2048</t>
  </si>
  <si>
    <t>2026_08_11-hn-mnrl-sq512</t>
  </si>
  <si>
    <t>2026_08_11-hn-mnrl-sq512lr1e5</t>
  </si>
  <si>
    <t>2026_08_11-hn-n3min2-mnrl-sq512</t>
  </si>
  <si>
    <t>2026_08_11-hn-n2min1-mnrl-sq512lr1e5</t>
  </si>
  <si>
    <t>2026_08_11-hn-n3-mnrl-sq512lr1e5</t>
  </si>
  <si>
    <t>**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</si>
</sst>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/>
      <diagonal/>
    </border>
    <border>
      <left/>
      <right/>
      <top style="thin">
        <color theme="4" tint="0.39997558519241921"/>
      </top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1" fillId="2" borderId="0" xfId="0" applyFont="1" applyFill="1" applyAlignment="1">
      <alignment horizontal="center"/>
    </xf>
    <xf numFmtId="0" fontId="1" fillId="2" borderId="0" xfId="0" applyFont="1" applyFill="1" applyAlignment="1">
      <alignment horizontal="center" wrapText="1"/>
    </xf>
    <xf numFmtId="0" fontId="2" fillId="2" borderId="0" xfId="0" applyFont="1" applyFill="1" applyAlignment="1">
      <alignment horizontal="center" wrapText="1"/>
    </xf>
    <xf numFmtId="0" fontId="4" fillId="2" borderId="0" xfId="1" applyFill="1" applyAlignment="1">
      <alignment horizontal="center"/>
    </xf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2" fillId="2" borderId="0" xfId="0" applyFont="1" applyFill="1" applyAlignment="1">
      <alignment horizontal="center" wrapText="1"/>
    </xf>
    <xf numFmtId="0" fontId="1" fillId="2" borderId="0" xfId="0" applyFont="1" applyFill="1" applyAlignment="1">
      <alignment horizontal="center" wrapText="1"/>
    </xf>
  </cellXfs>
  <cellStyles count="2">
    <cellStyle name="Hyperlink" xfId="1" builtinId="8"/>
    <cellStyle name="Normal" xfId="0" builtinId="0"/>
  </cellStyles>
  <dxfs count="22"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solid">
          <fgColor indexed="64"/>
          <bgColor theme="8" tint="0.7999816888943144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Doc Repr: Text_En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PRETRAINED_ON_TEST!$G$2</c:f>
              <c:strCache>
                <c:ptCount val="1"/>
                <c:pt idx="0">
                  <c:v>QUERY_EN MRR@10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(PRETRAINED_ON_TEST!$A$3,PRETRAINED_ON_TEST!$A$6,PRETRAINED_ON_TEST!$A$9,PRETRAINED_ON_TEST!$A$12,PRETRAINED_ON_TEST!$A$15,PRETRAINED_ON_TEST!$A$18)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(PRETRAINED_ON_TEST!$G$3,PRETRAINED_ON_TEST!$G$6,PRETRAINED_ON_TEST!$G$9,PRETRAINED_ON_TEST!$G$12,PRETRAINED_ON_TEST!$G$15,PRETRAINED_ON_TEST!$G$18)</c:f>
              <c:numCache>
                <c:formatCode>General</c:formatCode>
                <c:ptCount val="6"/>
                <c:pt idx="0">
                  <c:v>0.412233560090702</c:v>
                </c:pt>
                <c:pt idx="1">
                  <c:v>0.34925332037576901</c:v>
                </c:pt>
                <c:pt idx="2">
                  <c:v>0.44108276643990901</c:v>
                </c:pt>
                <c:pt idx="3">
                  <c:v>0.30136135406543502</c:v>
                </c:pt>
                <c:pt idx="4">
                  <c:v>0.46644557823129201</c:v>
                </c:pt>
                <c:pt idx="5">
                  <c:v>0.44524214447683802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167-48AA-A5DB-E932555845AB}"/>
            </c:ext>
          </c:extLst>
        </c:ser>
        <c:ser>
          <c:idx val="1"/>
          <c:order val="1"/>
          <c:tx>
            <c:strRef>
              <c:f>PRETRAINED_ON_TEST!$H$2</c:f>
              <c:strCache>
                <c:ptCount val="1"/>
                <c:pt idx="0">
                  <c:v>QUERY_FR MRR@10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(PRETRAINED_ON_TEST!$A$3,PRETRAINED_ON_TEST!$A$6,PRETRAINED_ON_TEST!$A$9,PRETRAINED_ON_TEST!$A$12,PRETRAINED_ON_TEST!$A$15,PRETRAINED_ON_TEST!$A$18)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(PRETRAINED_ON_TEST!$H$3,PRETRAINED_ON_TEST!$H$6,PRETRAINED_ON_TEST!$H$9,PRETRAINED_ON_TEST!$H$12,PRETRAINED_ON_TEST!$H$15,PRETRAINED_ON_TEST!$H$18)</c:f>
              <c:numCache>
                <c:formatCode>General</c:formatCode>
                <c:ptCount val="6"/>
                <c:pt idx="0">
                  <c:v>8.24927113702624E-2</c:v>
                </c:pt>
                <c:pt idx="1">
                  <c:v>0.20416423712341999</c:v>
                </c:pt>
                <c:pt idx="2">
                  <c:v>0.150105280207321</c:v>
                </c:pt>
                <c:pt idx="3">
                  <c:v>0.179227405247813</c:v>
                </c:pt>
                <c:pt idx="4">
                  <c:v>0.159377227081308</c:v>
                </c:pt>
                <c:pt idx="5">
                  <c:v>0.32356737933268498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167-48AA-A5DB-E932555845A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470783"/>
        <c:axId val="428479903"/>
      </c:barChart>
      <c:catAx>
        <c:axId val="4284707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79903"/>
        <c:crosses val="autoZero"/>
        <c:auto val="1"/>
        <c:lblAlgn val="ctr"/>
        <c:lblOffset val="100"/>
        <c:noMultiLvlLbl val="0"/>
      </c:catAx>
      <c:valAx>
        <c:axId val="4284799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7078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Doc</a:t>
            </a:r>
            <a:r>
              <a:rPr lang="en-CA" baseline="0"/>
              <a:t> Repr: Text_seq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PRETRAINED_ON_TEST!$G$2</c:f>
              <c:strCache>
                <c:ptCount val="1"/>
                <c:pt idx="0">
                  <c:v>QUERY_EN MRR@10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(PRETRAINED_ON_TEST!$A$4,PRETRAINED_ON_TEST!$A$7,PRETRAINED_ON_TEST!$A$10,PRETRAINED_ON_TEST!$A$13,PRETRAINED_ON_TEST!$A$16,PRETRAINED_ON_TEST!$A$19)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(PRETRAINED_ON_TEST!$G$4,PRETRAINED_ON_TEST!$G$7,PRETRAINED_ON_TEST!$G$10,PRETRAINED_ON_TEST!$G$13,PRETRAINED_ON_TEST!$G$16,PRETRAINED_ON_TEST!$G$19)</c:f>
              <c:numCache>
                <c:formatCode>General</c:formatCode>
                <c:ptCount val="6"/>
                <c:pt idx="0">
                  <c:v>0.38400631681243902</c:v>
                </c:pt>
                <c:pt idx="1">
                  <c:v>0.33610625202461902</c:v>
                </c:pt>
                <c:pt idx="2">
                  <c:v>0.44537495950761202</c:v>
                </c:pt>
                <c:pt idx="3">
                  <c:v>0.30543245869776398</c:v>
                </c:pt>
                <c:pt idx="4">
                  <c:v>0.47007450599287298</c:v>
                </c:pt>
                <c:pt idx="5">
                  <c:v>0.42019679300291501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A17-4CF5-A73C-12D63793333B}"/>
            </c:ext>
          </c:extLst>
        </c:ser>
        <c:ser>
          <c:idx val="1"/>
          <c:order val="1"/>
          <c:tx>
            <c:strRef>
              <c:f>PRETRAINED_ON_TEST!$H$2</c:f>
              <c:strCache>
                <c:ptCount val="1"/>
                <c:pt idx="0">
                  <c:v>QUERY_FR MRR@10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(PRETRAINED_ON_TEST!$A$4,PRETRAINED_ON_TEST!$A$7,PRETRAINED_ON_TEST!$A$10,PRETRAINED_ON_TEST!$A$13,PRETRAINED_ON_TEST!$A$16,PRETRAINED_ON_TEST!$A$19)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(PRETRAINED_ON_TEST!$H$4,PRETRAINED_ON_TEST!$H$7,PRETRAINED_ON_TEST!$H$10,PRETRAINED_ON_TEST!$H$13,PRETRAINED_ON_TEST!$H$16,PRETRAINED_ON_TEST!$H$19)</c:f>
              <c:numCache>
                <c:formatCode>General</c:formatCode>
                <c:ptCount val="6"/>
                <c:pt idx="0">
                  <c:v>0.10817622287009999</c:v>
                </c:pt>
                <c:pt idx="1">
                  <c:v>0.20892695173307399</c:v>
                </c:pt>
                <c:pt idx="2">
                  <c:v>0.161100583090379</c:v>
                </c:pt>
                <c:pt idx="3">
                  <c:v>0.17495626822157401</c:v>
                </c:pt>
                <c:pt idx="4">
                  <c:v>0.24816812439261399</c:v>
                </c:pt>
                <c:pt idx="5">
                  <c:v>0.34493359248461197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A17-4CF5-A73C-12D6379333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354693215"/>
        <c:axId val="354677375"/>
      </c:barChart>
      <c:catAx>
        <c:axId val="354693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677375"/>
        <c:crosses val="autoZero"/>
        <c:auto val="1"/>
        <c:lblAlgn val="ctr"/>
        <c:lblOffset val="100"/>
        <c:noMultiLvlLbl val="0"/>
      </c:catAx>
      <c:valAx>
        <c:axId val="3546773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469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Doc Repr: Text_para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PRETRAINED_ON_TEST!$G$2</c:f>
              <c:strCache>
                <c:ptCount val="1"/>
                <c:pt idx="0">
                  <c:v>QUERY_EN MRR@10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(PRETRAINED_ON_TEST!$A$5,PRETRAINED_ON_TEST!$A$8,PRETRAINED_ON_TEST!$A$11,PRETRAINED_ON_TEST!$A$14,PRETRAINED_ON_TEST!$A$17,PRETRAINED_ON_TEST!$A$20)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(PRETRAINED_ON_TEST!$G$5,PRETRAINED_ON_TEST!$G$8,PRETRAINED_ON_TEST!$G$11,PRETRAINED_ON_TEST!$G$14,PRETRAINED_ON_TEST!$G$17,PRETRAINED_ON_TEST!$G$20)</c:f>
              <c:numCache>
                <c:formatCode>General</c:formatCode>
                <c:ptCount val="6"/>
                <c:pt idx="0">
                  <c:v>0.38098639455782302</c:v>
                </c:pt>
                <c:pt idx="1">
                  <c:v>0.31440800129575602</c:v>
                </c:pt>
                <c:pt idx="2">
                  <c:v>0.413499352121801</c:v>
                </c:pt>
                <c:pt idx="3">
                  <c:v>0.292678976352445</c:v>
                </c:pt>
                <c:pt idx="4">
                  <c:v>0.47996031746031698</c:v>
                </c:pt>
                <c:pt idx="5">
                  <c:v>0.41708616780045299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652-4540-954F-E9A11922030D}"/>
            </c:ext>
          </c:extLst>
        </c:ser>
        <c:ser>
          <c:idx val="1"/>
          <c:order val="1"/>
          <c:tx>
            <c:strRef>
              <c:f>PRETRAINED_ON_TEST!$H$2</c:f>
              <c:strCache>
                <c:ptCount val="1"/>
                <c:pt idx="0">
                  <c:v>QUERY_FR MRR@10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(PRETRAINED_ON_TEST!$A$5,PRETRAINED_ON_TEST!$A$8,PRETRAINED_ON_TEST!$A$11,PRETRAINED_ON_TEST!$A$14,PRETRAINED_ON_TEST!$A$17,PRETRAINED_ON_TEST!$A$20)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(PRETRAINED_ON_TEST!$H$5,PRETRAINED_ON_TEST!$H$8,PRETRAINED_ON_TEST!$H$11,PRETRAINED_ON_TEST!$H$14,PRETRAINED_ON_TEST!$H$17,PRETRAINED_ON_TEST!$H$20)</c:f>
              <c:numCache>
                <c:formatCode>General</c:formatCode>
                <c:ptCount val="6"/>
                <c:pt idx="0">
                  <c:v>0.104328636216391</c:v>
                </c:pt>
                <c:pt idx="1">
                  <c:v>0.20720764496274699</c:v>
                </c:pt>
                <c:pt idx="2">
                  <c:v>0.229106737933268</c:v>
                </c:pt>
                <c:pt idx="3">
                  <c:v>0.19318270165208901</c:v>
                </c:pt>
                <c:pt idx="4">
                  <c:v>0.277728377065111</c:v>
                </c:pt>
                <c:pt idx="5">
                  <c:v>0.35406543569808802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652-4540-954F-E9A11922030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28468863"/>
        <c:axId val="428469343"/>
      </c:barChart>
      <c:catAx>
        <c:axId val="4284688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69343"/>
        <c:crosses val="autoZero"/>
        <c:auto val="1"/>
        <c:lblAlgn val="ctr"/>
        <c:lblOffset val="100"/>
        <c:noMultiLvlLbl val="0"/>
      </c:catAx>
      <c:valAx>
        <c:axId val="428469343"/>
        <c:scaling>
          <c:orientation val="minMax"/>
          <c:max val="0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846886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Doc Repr: Text_En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PRETRAINED_ON_TEST!$K$2</c:f>
              <c:strCache>
                <c:ptCount val="1"/>
                <c:pt idx="0">
                  <c:v>QUERY_EN Recall@3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(PRETRAINED_ON_TEST!$A$3,PRETRAINED_ON_TEST!$A$6,PRETRAINED_ON_TEST!$A$9,PRETRAINED_ON_TEST!$A$12,PRETRAINED_ON_TEST!$A$15,PRETRAINED_ON_TEST!$A$18)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(PRETRAINED_ON_TEST!$K$3,PRETRAINED_ON_TEST!$K$6,PRETRAINED_ON_TEST!$K$9,PRETRAINED_ON_TEST!$K$12,PRETRAINED_ON_TEST!$K$15,PRETRAINED_ON_TEST!$K$18)</c:f>
              <c:numCache>
                <c:formatCode>General</c:formatCode>
                <c:ptCount val="6"/>
                <c:pt idx="0">
                  <c:v>0.47959183673469302</c:v>
                </c:pt>
                <c:pt idx="1">
                  <c:v>0.40204081632652999</c:v>
                </c:pt>
                <c:pt idx="2">
                  <c:v>0.51020408163265296</c:v>
                </c:pt>
                <c:pt idx="3">
                  <c:v>0.34897959183673399</c:v>
                </c:pt>
                <c:pt idx="4">
                  <c:v>0.54081632653061196</c:v>
                </c:pt>
                <c:pt idx="5">
                  <c:v>0.52040816326530603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CCA-40FF-AC22-37854606A2B3}"/>
            </c:ext>
          </c:extLst>
        </c:ser>
        <c:ser>
          <c:idx val="1"/>
          <c:order val="1"/>
          <c:tx>
            <c:strRef>
              <c:f>PRETRAINED_ON_TEST!$L$2</c:f>
              <c:strCache>
                <c:ptCount val="1"/>
                <c:pt idx="0">
                  <c:v>QUERY_FR Recall@3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(PRETRAINED_ON_TEST!$A$3,PRETRAINED_ON_TEST!$A$6,PRETRAINED_ON_TEST!$A$9,PRETRAINED_ON_TEST!$A$12,PRETRAINED_ON_TEST!$A$15,PRETRAINED_ON_TEST!$A$18)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(PRETRAINED_ON_TEST!$L$3,PRETRAINED_ON_TEST!$L$6,PRETRAINED_ON_TEST!$L$9,PRETRAINED_ON_TEST!$L$12,PRETRAINED_ON_TEST!$L$15,PRETRAINED_ON_TEST!$L$18)</c:f>
              <c:numCache>
                <c:formatCode>General</c:formatCode>
                <c:ptCount val="6"/>
                <c:pt idx="0">
                  <c:v>8.5714285714285701E-2</c:v>
                </c:pt>
                <c:pt idx="1">
                  <c:v>0.24693877551020399</c:v>
                </c:pt>
                <c:pt idx="2">
                  <c:v>0.17755102040816301</c:v>
                </c:pt>
                <c:pt idx="3">
                  <c:v>0.208163265306122</c:v>
                </c:pt>
                <c:pt idx="4">
                  <c:v>0.19183673469387699</c:v>
                </c:pt>
                <c:pt idx="5">
                  <c:v>0.38571428571428501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CCA-40FF-AC22-37854606A2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331215"/>
        <c:axId val="1315331695"/>
      </c:barChart>
      <c:catAx>
        <c:axId val="13153312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31695"/>
        <c:crosses val="autoZero"/>
        <c:auto val="1"/>
        <c:lblAlgn val="ctr"/>
        <c:lblOffset val="100"/>
        <c:noMultiLvlLbl val="0"/>
      </c:catAx>
      <c:valAx>
        <c:axId val="1315331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331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Doc</a:t>
            </a:r>
            <a:r>
              <a:rPr lang="en-CA" baseline="0"/>
              <a:t> Repr: Text_seq</a:t>
            </a:r>
            <a:endParaRPr lang="en-C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CA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PRETRAINED_ON_TEST!$K$2</c:f>
              <c:strCache>
                <c:ptCount val="1"/>
                <c:pt idx="0">
                  <c:v>QUERY_EN Recall@3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(PRETRAINED_ON_TEST!$A$4,PRETRAINED_ON_TEST!$A$7,PRETRAINED_ON_TEST!$A$10,PRETRAINED_ON_TEST!$A$13,PRETRAINED_ON_TEST!$A$16,PRETRAINED_ON_TEST!$A$19)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(PRETRAINED_ON_TEST!$K$4,PRETRAINED_ON_TEST!$K$7,PRETRAINED_ON_TEST!$K$10,PRETRAINED_ON_TEST!$K$13,PRETRAINED_ON_TEST!$K$16,PRETRAINED_ON_TEST!$K$19)</c:f>
              <c:numCache>
                <c:formatCode>General</c:formatCode>
                <c:ptCount val="6"/>
                <c:pt idx="0">
                  <c:v>0.451020408163265</c:v>
                </c:pt>
                <c:pt idx="1">
                  <c:v>0.397959183673469</c:v>
                </c:pt>
                <c:pt idx="2">
                  <c:v>0.50612244897959102</c:v>
                </c:pt>
                <c:pt idx="3">
                  <c:v>0.35510204081632601</c:v>
                </c:pt>
                <c:pt idx="4">
                  <c:v>0.530612244897959</c:v>
                </c:pt>
                <c:pt idx="5">
                  <c:v>0.5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A75-4B0C-850A-689ED571FFCE}"/>
            </c:ext>
          </c:extLst>
        </c:ser>
        <c:ser>
          <c:idx val="1"/>
          <c:order val="1"/>
          <c:tx>
            <c:strRef>
              <c:f>PRETRAINED_ON_TEST!$L$2</c:f>
              <c:strCache>
                <c:ptCount val="1"/>
                <c:pt idx="0">
                  <c:v>QUERY_FR Recall@3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(PRETRAINED_ON_TEST!$A$4,PRETRAINED_ON_TEST!$A$7,PRETRAINED_ON_TEST!$A$10,PRETRAINED_ON_TEST!$A$13,PRETRAINED_ON_TEST!$A$16,PRETRAINED_ON_TEST!$A$19)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(PRETRAINED_ON_TEST!$L$4,PRETRAINED_ON_TEST!$L$7,PRETRAINED_ON_TEST!$L$10,PRETRAINED_ON_TEST!$L$13,PRETRAINED_ON_TEST!$L$16,PRETRAINED_ON_TEST!$L$19)</c:f>
              <c:numCache>
                <c:formatCode>General</c:formatCode>
                <c:ptCount val="6"/>
                <c:pt idx="0">
                  <c:v>0.12653061224489701</c:v>
                </c:pt>
                <c:pt idx="1">
                  <c:v>0.26734693877551002</c:v>
                </c:pt>
                <c:pt idx="2">
                  <c:v>0.187755102040816</c:v>
                </c:pt>
                <c:pt idx="3">
                  <c:v>0.21836734693877499</c:v>
                </c:pt>
                <c:pt idx="4">
                  <c:v>0.29387755102040802</c:v>
                </c:pt>
                <c:pt idx="5">
                  <c:v>0.40408163265306102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A75-4B0C-850A-689ED571FF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286575"/>
        <c:axId val="1315283695"/>
      </c:barChart>
      <c:catAx>
        <c:axId val="13152865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83695"/>
        <c:crosses val="autoZero"/>
        <c:auto val="1"/>
        <c:lblAlgn val="ctr"/>
        <c:lblOffset val="100"/>
        <c:noMultiLvlLbl val="0"/>
      </c:catAx>
      <c:valAx>
        <c:axId val="13152836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865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CA"/>
              <a:t>Doc</a:t>
            </a:r>
            <a:r>
              <a:rPr lang="en-CA" baseline="0"/>
              <a:t> Repr: Text_para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PRETRAINED_ON_TEST!$K$2</c:f>
              <c:strCache>
                <c:ptCount val="1"/>
                <c:pt idx="0">
                  <c:v>QUERY_EN Recall@3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(PRETRAINED_ON_TEST!$A$5,PRETRAINED_ON_TEST!$A$8,PRETRAINED_ON_TEST!$A$11,PRETRAINED_ON_TEST!$A$14,PRETRAINED_ON_TEST!$A$17,PRETRAINED_ON_TEST!$A$20)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(PRETRAINED_ON_TEST!$K$5,PRETRAINED_ON_TEST!$K$8,PRETRAINED_ON_TEST!$K$11,PRETRAINED_ON_TEST!$K$14,PRETRAINED_ON_TEST!$K$17,PRETRAINED_ON_TEST!$K$20)</c:f>
              <c:numCache>
                <c:formatCode>General</c:formatCode>
                <c:ptCount val="6"/>
                <c:pt idx="0">
                  <c:v>0.45714285714285702</c:v>
                </c:pt>
                <c:pt idx="1">
                  <c:v>0.36326530612244901</c:v>
                </c:pt>
                <c:pt idx="2">
                  <c:v>0.477551020408163</c:v>
                </c:pt>
                <c:pt idx="3">
                  <c:v>0.34897959183673399</c:v>
                </c:pt>
                <c:pt idx="4">
                  <c:v>0.54081632653061196</c:v>
                </c:pt>
                <c:pt idx="5">
                  <c:v>0.48775510204081601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24-489C-8FF9-4CA672333D3F}"/>
            </c:ext>
          </c:extLst>
        </c:ser>
        <c:ser>
          <c:idx val="1"/>
          <c:order val="1"/>
          <c:tx>
            <c:strRef>
              <c:f>PRETRAINED_ON_TEST!$L$2</c:f>
              <c:strCache>
                <c:ptCount val="1"/>
                <c:pt idx="0">
                  <c:v>QUERY_FR Recall@3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(PRETRAINED_ON_TEST!$A$5,PRETRAINED_ON_TEST!$A$8,PRETRAINED_ON_TEST!$A$11,PRETRAINED_ON_TEST!$A$14,PRETRAINED_ON_TEST!$A$17,PRETRAINED_ON_TEST!$A$20)</c:f>
              <c:strCache>
                <c:ptCount val="6"/>
                <c:pt idx="0">
                  <c:v>all-mpnet-base-v2</c:v>
                </c:pt>
                <c:pt idx="1">
                  <c:v>paraphrase-multilingual-mpnet-base-v2</c:v>
                </c:pt>
                <c:pt idx="2">
                  <c:v>all-MiniLM-L12-v2</c:v>
                </c:pt>
                <c:pt idx="3">
                  <c:v>paraphrase-multilingual-MiniLM-L12-v2</c:v>
                </c:pt>
                <c:pt idx="4">
                  <c:v>Alibaba-NLP/gte-base-en-v1.5</c:v>
                </c:pt>
                <c:pt idx="5">
                  <c:v>Alibaba-NLP/gte-multilingual-base</c:v>
                </c:pt>
              </c:strCache>
            </c:strRef>
          </c:cat>
          <c:val>
            <c:numRef>
              <c:f>(PRETRAINED_ON_TEST!$L$5,PRETRAINED_ON_TEST!$L$8,PRETRAINED_ON_TEST!$L$11,PRETRAINED_ON_TEST!$L$14,PRETRAINED_ON_TEST!$L$17,PRETRAINED_ON_TEST!$L$20)</c:f>
              <c:numCache>
                <c:formatCode>General</c:formatCode>
                <c:ptCount val="6"/>
                <c:pt idx="0">
                  <c:v>0.116326530612244</c:v>
                </c:pt>
                <c:pt idx="1">
                  <c:v>0.25102040816326499</c:v>
                </c:pt>
                <c:pt idx="2">
                  <c:v>0.261224489795918</c:v>
                </c:pt>
                <c:pt idx="3">
                  <c:v>0.22244897959183599</c:v>
                </c:pt>
                <c:pt idx="4">
                  <c:v>0.34285714285714203</c:v>
                </c:pt>
                <c:pt idx="5">
                  <c:v>0.41224489795918301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24-489C-8FF9-4CA672333D3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5286095"/>
        <c:axId val="1315281775"/>
      </c:barChart>
      <c:catAx>
        <c:axId val="131528609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81775"/>
        <c:crosses val="autoZero"/>
        <c:auto val="1"/>
        <c:lblAlgn val="ctr"/>
        <c:lblOffset val="100"/>
        <c:noMultiLvlLbl val="0"/>
      </c:catAx>
      <c:valAx>
        <c:axId val="131528177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1528609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468245</xdr:colOff>
      <xdr:row>3</xdr:row>
      <xdr:rowOff>14553</xdr:rowOff>
    </xdr:from>
    <xdr:to>
      <xdr:col>53</xdr:col>
      <xdr:colOff>473445</xdr:colOff>
      <xdr:row>29</xdr:row>
      <xdr:rowOff>15711</xdr:rowOff>
    </xdr:to>
    <xdr:grpSp>
      <xdr:nvGrpSpPr>
        <xdr:cNvPr id="2" name="Group 1">
          <a:extLst>
            <a:ext uri="{FF2B5EF4-FFF2-40B4-BE49-F238E27FC236}">
              <a16:creationId xmlns:a16="http://schemas.microsoft.com/office/drawing/2014/main" id="{ABBF0A8A-4A7B-DFAC-5B72-BA2BCC76470D}"/>
            </a:ext>
          </a:extLst>
        </xdr:cNvPr>
        <xdr:cNvGrpSpPr/>
      </xdr:nvGrpSpPr>
      <xdr:grpSpPr>
        <a:xfrm>
          <a:off x="18596188" y="784584"/>
          <a:ext cx="22397728" cy="4662805"/>
          <a:chOff x="11952" y="4107494"/>
          <a:chExt cx="22651568" cy="4603185"/>
        </a:xfrm>
      </xdr:grpSpPr>
      <xdr:graphicFrame macro="">
        <xdr:nvGraphicFramePr>
          <xdr:cNvPr id="3" name="Chart 2">
            <a:extLst>
              <a:ext uri="{FF2B5EF4-FFF2-40B4-BE49-F238E27FC236}">
                <a16:creationId xmlns:a16="http://schemas.microsoft.com/office/drawing/2014/main" id="{E4F5C630-7E7C-5EB4-1A2A-5229CFECC477}"/>
              </a:ext>
            </a:extLst>
          </xdr:cNvPr>
          <xdr:cNvGraphicFramePr/>
        </xdr:nvGraphicFramePr>
        <xdr:xfrm>
          <a:off x="11952" y="4108282"/>
          <a:ext cx="7528007" cy="459711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1"/>
          </a:graphicData>
        </a:graphic>
      </xdr:graphicFrame>
      <xdr:graphicFrame macro="">
        <xdr:nvGraphicFramePr>
          <xdr:cNvPr id="4" name="Chart 3">
            <a:extLst>
              <a:ext uri="{FF2B5EF4-FFF2-40B4-BE49-F238E27FC236}">
                <a16:creationId xmlns:a16="http://schemas.microsoft.com/office/drawing/2014/main" id="{A2D65C00-8642-55C9-A9C5-7E9EDC3393EC}"/>
              </a:ext>
            </a:extLst>
          </xdr:cNvPr>
          <xdr:cNvGraphicFramePr/>
        </xdr:nvGraphicFramePr>
        <xdr:xfrm>
          <a:off x="7525325" y="4111445"/>
          <a:ext cx="7549988" cy="459923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2"/>
          </a:graphicData>
        </a:graphic>
      </xdr:graphicFrame>
      <xdr:graphicFrame macro="">
        <xdr:nvGraphicFramePr>
          <xdr:cNvPr id="5" name="Chart 4">
            <a:extLst>
              <a:ext uri="{FF2B5EF4-FFF2-40B4-BE49-F238E27FC236}">
                <a16:creationId xmlns:a16="http://schemas.microsoft.com/office/drawing/2014/main" id="{F2BC3FC8-E8E2-7348-EFDA-A3E14B41E78F}"/>
              </a:ext>
            </a:extLst>
          </xdr:cNvPr>
          <xdr:cNvGraphicFramePr/>
        </xdr:nvGraphicFramePr>
        <xdr:xfrm>
          <a:off x="15069372" y="4107494"/>
          <a:ext cx="7594148" cy="460318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3"/>
          </a:graphicData>
        </a:graphic>
      </xdr:graphicFrame>
    </xdr:grpSp>
    <xdr:clientData/>
  </xdr:twoCellAnchor>
  <xdr:twoCellAnchor>
    <xdr:from>
      <xdr:col>16</xdr:col>
      <xdr:colOff>506638</xdr:colOff>
      <xdr:row>29</xdr:row>
      <xdr:rowOff>97971</xdr:rowOff>
    </xdr:from>
    <xdr:to>
      <xdr:col>53</xdr:col>
      <xdr:colOff>483507</xdr:colOff>
      <xdr:row>55</xdr:row>
      <xdr:rowOff>105683</xdr:rowOff>
    </xdr:to>
    <xdr:grpSp>
      <xdr:nvGrpSpPr>
        <xdr:cNvPr id="11" name="Group 10">
          <a:extLst>
            <a:ext uri="{FF2B5EF4-FFF2-40B4-BE49-F238E27FC236}">
              <a16:creationId xmlns:a16="http://schemas.microsoft.com/office/drawing/2014/main" id="{2D76F1CC-1809-9108-D74F-7F96D6AC4ACB}"/>
            </a:ext>
          </a:extLst>
        </xdr:cNvPr>
        <xdr:cNvGrpSpPr/>
      </xdr:nvGrpSpPr>
      <xdr:grpSpPr>
        <a:xfrm>
          <a:off x="18634581" y="5532824"/>
          <a:ext cx="22372572" cy="4666184"/>
          <a:chOff x="15296365" y="5362698"/>
          <a:chExt cx="22403915" cy="4510440"/>
        </a:xfrm>
      </xdr:grpSpPr>
      <xdr:graphicFrame macro="">
        <xdr:nvGraphicFramePr>
          <xdr:cNvPr id="8" name="Chart 7">
            <a:extLst>
              <a:ext uri="{FF2B5EF4-FFF2-40B4-BE49-F238E27FC236}">
                <a16:creationId xmlns:a16="http://schemas.microsoft.com/office/drawing/2014/main" id="{39A1B883-6D56-4423-7510-7617D6A98B00}"/>
              </a:ext>
            </a:extLst>
          </xdr:cNvPr>
          <xdr:cNvGraphicFramePr/>
        </xdr:nvGraphicFramePr>
        <xdr:xfrm>
          <a:off x="15296365" y="5362698"/>
          <a:ext cx="7441170" cy="4510439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9" name="Chart 8">
            <a:extLst>
              <a:ext uri="{FF2B5EF4-FFF2-40B4-BE49-F238E27FC236}">
                <a16:creationId xmlns:a16="http://schemas.microsoft.com/office/drawing/2014/main" id="{B31AE11A-7DC2-2B2A-FA02-D653F80421E2}"/>
              </a:ext>
            </a:extLst>
          </xdr:cNvPr>
          <xdr:cNvGraphicFramePr/>
        </xdr:nvGraphicFramePr>
        <xdr:xfrm>
          <a:off x="22706241" y="5366328"/>
          <a:ext cx="7465043" cy="4506810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10" name="Chart 9">
            <a:extLst>
              <a:ext uri="{FF2B5EF4-FFF2-40B4-BE49-F238E27FC236}">
                <a16:creationId xmlns:a16="http://schemas.microsoft.com/office/drawing/2014/main" id="{8166CAB0-0A32-558D-35C0-23A891C6FEDD}"/>
              </a:ext>
            </a:extLst>
          </xdr:cNvPr>
          <xdr:cNvGraphicFramePr/>
        </xdr:nvGraphicFramePr>
        <xdr:xfrm>
          <a:off x="30160851" y="5362698"/>
          <a:ext cx="7539429" cy="4507263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45C384C-84AF-4A9A-AC05-C1308ADFA2EE}" name="Table1" displayName="Table1" ref="A2:N20" totalsRowShown="0" headerRowDxfId="20">
  <autoFilter ref="A2:N20" xr:uid="{D45C384C-84AF-4A9A-AC05-C1308ADFA2EE}"/>
  <tableColumns count="14">
    <tableColumn id="1" xr3:uid="{E99CCF0C-9679-404C-9D12-809F99A1A66A}" name="Model"/>
    <tableColumn id="10" xr3:uid="{0E08B715-4D18-4F5C-8617-0B25243BC95D}" name="Embedding Dim"/>
    <tableColumn id="12" xr3:uid="{AFA01403-3C20-4FC2-9921-7E9836247B3B}" name="Default Seq Len"/>
    <tableColumn id="2" xr3:uid="{C5BEA635-71F3-44BA-8AB0-EF3737EE9115}" name="TrainConfig"/>
    <tableColumn id="3" xr3:uid="{D4E4581F-F79F-4FCC-AE32-CDBEE0B9AE9E}" name="isMultilingual"/>
    <tableColumn id="4" xr3:uid="{B9BC77B8-F432-4530-A0A4-14BCBE2F72E4}" name="Doc Repr"/>
    <tableColumn id="5" xr3:uid="{31C30C0D-6DBC-4B00-8BB6-3479F65F4120}" name="QUERY_EN MRR@10"/>
    <tableColumn id="6" xr3:uid="{AFB2A354-56E5-4BF6-A159-559D4D4446E8}" name="QUERY_FR MRR@10"/>
    <tableColumn id="9" xr3:uid="{FFD95B65-D812-4DD8-9F49-C74167A68390}" name="MRR@10" dataDxfId="19">
      <calculatedColumnFormula>(Table1[[#This Row],[QUERY_EN MRR@10]]+Table1[[#This Row],[QUERY_FR MRR@10]])/2</calculatedColumnFormula>
    </tableColumn>
    <tableColumn id="13" xr3:uid="{25783066-57D4-4AE0-9E0A-EA9853E6F569}" name="EN-FR" dataDxfId="18">
      <calculatedColumnFormula>Table1[[#This Row],[QUERY_EN MRR@10]]-Table1[[#This Row],[QUERY_FR MRR@10]]</calculatedColumnFormula>
    </tableColumn>
    <tableColumn id="7" xr3:uid="{BFA215F8-F328-4106-A061-E1B5E9188E58}" name="QUERY_EN Recall@3"/>
    <tableColumn id="8" xr3:uid="{895906F6-2E8E-49E5-B96C-653546E50C90}" name="QUERY_FR Recall@3"/>
    <tableColumn id="11" xr3:uid="{AB56DDC3-4224-4CB1-BF64-1D4F601FFDD5}" name="Recall@3" dataDxfId="17">
      <calculatedColumnFormula>(Table1[[#This Row],[QUERY_EN Recall@3]]+Table1[[#This Row],[QUERY_FR Recall@3]])/2</calculatedColumnFormula>
    </tableColumn>
    <tableColumn id="14" xr3:uid="{1464FBC1-C882-4DCD-889C-718F9EADC761}" name="EN-FR2" dataDxfId="16">
      <calculatedColumnFormula>Table1[[#This Row],[QUERY_EN Recall@3]]-Table1[[#This Row],[QUERY_FR Recall@3]]</calculatedColumn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297C2550-DC67-4945-B8AD-3F4DA1DF04EF}" name="Table13" displayName="Table13" ref="A2:F86" totalsRowShown="0" headerRowDxfId="21">
  <autoFilter ref="A2:F86" xr:uid="{297C2550-DC67-4945-B8AD-3F4DA1DF04EF}"/>
  <tableColumns count="6">
    <tableColumn id="1" xr3:uid="{25DD9812-F483-4967-9EFA-B96758E7312A}" name="Model"/>
    <tableColumn id="8" xr3:uid="{F8F9422D-1023-49D4-BAE1-9AD653DEE20B}" name="Exp Name"/>
    <tableColumn id="2" xr3:uid="{13272338-E0EB-431E-98EA-7D89DFA81EB4}" name="TrainedOn"/>
    <tableColumn id="6" xr3:uid="{3D44288C-19BD-4A7E-9730-0C0129BD7F9C}" name="MixLang"/>
    <tableColumn id="5" xr3:uid="{63231E0B-43C4-4871-805D-6CD2A2AC8B09}" name="QUERY MRR@10"/>
    <tableColumn id="9" xr3:uid="{CB3D7012-889C-440A-89DB-F209D3739F85}" name="Selecte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Recall@3" TargetMode="External"/><Relationship Id="rId1" Type="http://schemas.openxmlformats.org/officeDocument/2006/relationships/hyperlink" Target="mailto:MRR@10" TargetMode="External"/><Relationship Id="rId5" Type="http://schemas.openxmlformats.org/officeDocument/2006/relationships/table" Target="../tables/table1.xml"/><Relationship Id="rId4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E20"/>
  <sheetViews>
    <sheetView tabSelected="1" zoomScale="85" zoomScaleNormal="85" workbookViewId="0">
      <selection activeCell="J6" sqref="J6"/>
    </sheetView>
  </sheetViews>
  <sheetFormatPr defaultRowHeight="14.5" x14ac:dyDescent="0.35"/>
  <cols>
    <col min="1" max="1" width="37.26953125" customWidth="1"/>
    <col min="2" max="3" width="17.90625" customWidth="1"/>
    <col min="4" max="4" width="18.453125" customWidth="1"/>
    <col min="5" max="5" width="13.26953125" customWidth="1"/>
    <col min="6" max="6" width="11.1796875" customWidth="1"/>
    <col min="7" max="7" width="20.08984375" customWidth="1"/>
    <col min="8" max="8" width="20.90625" customWidth="1"/>
    <col min="9" max="10" width="14" customWidth="1"/>
    <col min="11" max="11" width="20.1796875" customWidth="1"/>
    <col min="12" max="12" width="19.90625" customWidth="1"/>
  </cols>
  <sheetData>
    <row r="1" spans="1:57" s="1" customFormat="1" ht="32.5" customHeight="1" x14ac:dyDescent="0.35">
      <c r="G1" s="8" t="s">
        <v>16</v>
      </c>
      <c r="H1" s="9"/>
      <c r="I1" s="2"/>
      <c r="J1" s="2"/>
      <c r="K1" s="8" t="s">
        <v>17</v>
      </c>
      <c r="L1" s="8"/>
    </row>
    <row r="2" spans="1:57" s="1" customFormat="1" x14ac:dyDescent="0.35">
      <c r="A2" s="1" t="s">
        <v>0</v>
      </c>
      <c r="B2" s="1" t="s">
        <v>19</v>
      </c>
      <c r="C2" s="1" t="s">
        <v>51</v>
      </c>
      <c r="D2" s="1" t="s">
        <v>48</v>
      </c>
      <c r="E2" s="1" t="s">
        <v>7</v>
      </c>
      <c r="F2" s="1" t="s">
        <v>2</v>
      </c>
      <c r="G2" s="1" t="s">
        <v>12</v>
      </c>
      <c r="H2" s="1" t="s">
        <v>13</v>
      </c>
      <c r="I2" s="4" t="s">
        <v>21</v>
      </c>
      <c r="J2" s="4" t="s">
        <v>61</v>
      </c>
      <c r="K2" s="1" t="s">
        <v>14</v>
      </c>
      <c r="L2" s="1" t="s">
        <v>15</v>
      </c>
      <c r="M2" s="4" t="s">
        <v>22</v>
      </c>
      <c r="N2" s="1" t="s">
        <v>62</v>
      </c>
    </row>
    <row r="3" spans="1:57" x14ac:dyDescent="0.35">
      <c r="A3" t="s">
        <v>3</v>
      </c>
      <c r="B3">
        <v>768</v>
      </c>
      <c r="C3">
        <v>384</v>
      </c>
      <c r="D3" t="s">
        <v>11</v>
      </c>
      <c r="E3" t="b">
        <v>0</v>
      </c>
      <c r="F3" t="s">
        <v>8</v>
      </c>
      <c r="G3">
        <v>0.412233560090702</v>
      </c>
      <c r="H3">
        <v>8.24927113702624E-2</v>
      </c>
      <c r="I3">
        <f>(Table1[[#This Row],[QUERY_EN MRR@10]]+Table1[[#This Row],[QUERY_FR MRR@10]])/2</f>
        <v>0.24736313573048219</v>
      </c>
      <c r="J3">
        <f>Table1[[#This Row],[QUERY_EN MRR@10]]-Table1[[#This Row],[QUERY_FR MRR@10]]</f>
        <v>0.32974084872043963</v>
      </c>
      <c r="K3">
        <v>0.47959183673469302</v>
      </c>
      <c r="L3">
        <v>8.5714285714285701E-2</v>
      </c>
      <c r="M3">
        <f>(Table1[[#This Row],[QUERY_EN Recall@3]]+Table1[[#This Row],[QUERY_FR Recall@3]])/2</f>
        <v>0.28265306122448935</v>
      </c>
      <c r="N3">
        <f>Table1[[#This Row],[QUERY_EN Recall@3]]-Table1[[#This Row],[QUERY_FR Recall@3]]</f>
        <v>0.39387755102040733</v>
      </c>
    </row>
    <row r="4" spans="1:57" x14ac:dyDescent="0.35">
      <c r="A4" t="s">
        <v>3</v>
      </c>
      <c r="B4">
        <v>768</v>
      </c>
      <c r="C4">
        <v>384</v>
      </c>
      <c r="D4" t="s">
        <v>11</v>
      </c>
      <c r="E4" t="b">
        <v>0</v>
      </c>
      <c r="F4" t="s">
        <v>9</v>
      </c>
      <c r="G4">
        <v>0.38400631681243902</v>
      </c>
      <c r="H4">
        <v>0.10817622287009999</v>
      </c>
      <c r="I4">
        <f>(Table1[[#This Row],[QUERY_EN MRR@10]]+Table1[[#This Row],[QUERY_FR MRR@10]])/2</f>
        <v>0.2460912698412695</v>
      </c>
      <c r="J4">
        <f>Table1[[#This Row],[QUERY_EN MRR@10]]-Table1[[#This Row],[QUERY_FR MRR@10]]</f>
        <v>0.27583009394233904</v>
      </c>
      <c r="K4">
        <v>0.451020408163265</v>
      </c>
      <c r="L4">
        <v>0.12653061224489701</v>
      </c>
      <c r="M4">
        <f>(Table1[[#This Row],[QUERY_EN Recall@3]]+Table1[[#This Row],[QUERY_FR Recall@3]])/2</f>
        <v>0.28877551020408099</v>
      </c>
      <c r="N4">
        <f>Table1[[#This Row],[QUERY_EN Recall@3]]-Table1[[#This Row],[QUERY_FR Recall@3]]</f>
        <v>0.32448979591836802</v>
      </c>
      <c r="BE4">
        <v>0</v>
      </c>
    </row>
    <row r="5" spans="1:57" x14ac:dyDescent="0.35">
      <c r="A5" t="s">
        <v>3</v>
      </c>
      <c r="B5">
        <v>768</v>
      </c>
      <c r="C5">
        <v>384</v>
      </c>
      <c r="D5" t="s">
        <v>11</v>
      </c>
      <c r="E5" t="b">
        <v>0</v>
      </c>
      <c r="F5" t="s">
        <v>10</v>
      </c>
      <c r="G5">
        <v>0.38098639455782302</v>
      </c>
      <c r="H5">
        <v>0.104328636216391</v>
      </c>
      <c r="I5">
        <f>(Table1[[#This Row],[QUERY_EN MRR@10]]+Table1[[#This Row],[QUERY_FR MRR@10]])/2</f>
        <v>0.242657515387107</v>
      </c>
      <c r="J5">
        <f>Table1[[#This Row],[QUERY_EN MRR@10]]-Table1[[#This Row],[QUERY_FR MRR@10]]</f>
        <v>0.27665775834143203</v>
      </c>
      <c r="K5">
        <v>0.45714285714285702</v>
      </c>
      <c r="L5">
        <v>0.116326530612244</v>
      </c>
      <c r="M5">
        <f>(Table1[[#This Row],[QUERY_EN Recall@3]]+Table1[[#This Row],[QUERY_FR Recall@3]])/2</f>
        <v>0.28673469387755052</v>
      </c>
      <c r="N5">
        <f>Table1[[#This Row],[QUERY_EN Recall@3]]-Table1[[#This Row],[QUERY_FR Recall@3]]</f>
        <v>0.340816326530613</v>
      </c>
    </row>
    <row r="6" spans="1:57" x14ac:dyDescent="0.35">
      <c r="A6" t="s">
        <v>4</v>
      </c>
      <c r="B6">
        <v>768</v>
      </c>
      <c r="C6">
        <v>128</v>
      </c>
      <c r="D6" t="s">
        <v>11</v>
      </c>
      <c r="E6" t="b">
        <v>1</v>
      </c>
      <c r="F6" t="s">
        <v>8</v>
      </c>
      <c r="G6">
        <v>0.34925332037576901</v>
      </c>
      <c r="H6">
        <v>0.20416423712341999</v>
      </c>
      <c r="I6">
        <f>(Table1[[#This Row],[QUERY_EN MRR@10]]+Table1[[#This Row],[QUERY_FR MRR@10]])/2</f>
        <v>0.27670877874959449</v>
      </c>
      <c r="J6">
        <f>Table1[[#This Row],[QUERY_EN MRR@10]]-Table1[[#This Row],[QUERY_FR MRR@10]]</f>
        <v>0.14508908325234901</v>
      </c>
      <c r="K6">
        <v>0.40204081632652999</v>
      </c>
      <c r="L6">
        <v>0.24693877551020399</v>
      </c>
      <c r="M6">
        <f>(Table1[[#This Row],[QUERY_EN Recall@3]]+Table1[[#This Row],[QUERY_FR Recall@3]])/2</f>
        <v>0.32448979591836702</v>
      </c>
      <c r="N6">
        <f>Table1[[#This Row],[QUERY_EN Recall@3]]-Table1[[#This Row],[QUERY_FR Recall@3]]</f>
        <v>0.155102040816326</v>
      </c>
    </row>
    <row r="7" spans="1:57" x14ac:dyDescent="0.35">
      <c r="A7" t="s">
        <v>4</v>
      </c>
      <c r="B7">
        <v>768</v>
      </c>
      <c r="C7">
        <v>128</v>
      </c>
      <c r="D7" t="s">
        <v>11</v>
      </c>
      <c r="E7" t="b">
        <v>1</v>
      </c>
      <c r="F7" t="s">
        <v>9</v>
      </c>
      <c r="G7">
        <v>0.33610625202461902</v>
      </c>
      <c r="H7">
        <v>0.20892695173307399</v>
      </c>
      <c r="I7">
        <f>(Table1[[#This Row],[QUERY_EN MRR@10]]+Table1[[#This Row],[QUERY_FR MRR@10]])/2</f>
        <v>0.27251660187884652</v>
      </c>
      <c r="J7">
        <f>Table1[[#This Row],[QUERY_EN MRR@10]]-Table1[[#This Row],[QUERY_FR MRR@10]]</f>
        <v>0.12717930029154503</v>
      </c>
      <c r="K7">
        <v>0.397959183673469</v>
      </c>
      <c r="L7">
        <v>0.26734693877551002</v>
      </c>
      <c r="M7">
        <f>(Table1[[#This Row],[QUERY_EN Recall@3]]+Table1[[#This Row],[QUERY_FR Recall@3]])/2</f>
        <v>0.33265306122448951</v>
      </c>
      <c r="N7">
        <f>Table1[[#This Row],[QUERY_EN Recall@3]]-Table1[[#This Row],[QUERY_FR Recall@3]]</f>
        <v>0.13061224489795897</v>
      </c>
    </row>
    <row r="8" spans="1:57" x14ac:dyDescent="0.35">
      <c r="A8" t="s">
        <v>4</v>
      </c>
      <c r="B8">
        <v>768</v>
      </c>
      <c r="C8">
        <v>128</v>
      </c>
      <c r="D8" t="s">
        <v>11</v>
      </c>
      <c r="E8" t="b">
        <v>1</v>
      </c>
      <c r="F8" t="s">
        <v>10</v>
      </c>
      <c r="G8">
        <v>0.31440800129575602</v>
      </c>
      <c r="H8">
        <v>0.20720764496274699</v>
      </c>
      <c r="I8">
        <f>(Table1[[#This Row],[QUERY_EN MRR@10]]+Table1[[#This Row],[QUERY_FR MRR@10]])/2</f>
        <v>0.26080782312925149</v>
      </c>
      <c r="J8">
        <f>Table1[[#This Row],[QUERY_EN MRR@10]]-Table1[[#This Row],[QUERY_FR MRR@10]]</f>
        <v>0.10720035633300903</v>
      </c>
      <c r="K8">
        <v>0.36326530612244901</v>
      </c>
      <c r="L8">
        <v>0.25102040816326499</v>
      </c>
      <c r="M8">
        <f>(Table1[[#This Row],[QUERY_EN Recall@3]]+Table1[[#This Row],[QUERY_FR Recall@3]])/2</f>
        <v>0.307142857142857</v>
      </c>
      <c r="N8">
        <f>Table1[[#This Row],[QUERY_EN Recall@3]]-Table1[[#This Row],[QUERY_FR Recall@3]]</f>
        <v>0.11224489795918402</v>
      </c>
    </row>
    <row r="9" spans="1:57" x14ac:dyDescent="0.35">
      <c r="A9" t="s">
        <v>5</v>
      </c>
      <c r="B9">
        <v>384</v>
      </c>
      <c r="C9">
        <v>128</v>
      </c>
      <c r="D9" t="s">
        <v>11</v>
      </c>
      <c r="E9" t="b">
        <v>0</v>
      </c>
      <c r="F9" t="s">
        <v>8</v>
      </c>
      <c r="G9">
        <v>0.44108276643990901</v>
      </c>
      <c r="H9">
        <v>0.150105280207321</v>
      </c>
      <c r="I9">
        <f>(Table1[[#This Row],[QUERY_EN MRR@10]]+Table1[[#This Row],[QUERY_FR MRR@10]])/2</f>
        <v>0.29559402332361501</v>
      </c>
      <c r="J9">
        <f>Table1[[#This Row],[QUERY_EN MRR@10]]-Table1[[#This Row],[QUERY_FR MRR@10]]</f>
        <v>0.29097748623258801</v>
      </c>
      <c r="K9">
        <v>0.51020408163265296</v>
      </c>
      <c r="L9">
        <v>0.17755102040816301</v>
      </c>
      <c r="M9">
        <f>(Table1[[#This Row],[QUERY_EN Recall@3]]+Table1[[#This Row],[QUERY_FR Recall@3]])/2</f>
        <v>0.34387755102040796</v>
      </c>
      <c r="N9">
        <f>Table1[[#This Row],[QUERY_EN Recall@3]]-Table1[[#This Row],[QUERY_FR Recall@3]]</f>
        <v>0.33265306122448995</v>
      </c>
    </row>
    <row r="10" spans="1:57" x14ac:dyDescent="0.35">
      <c r="A10" t="s">
        <v>5</v>
      </c>
      <c r="B10">
        <v>384</v>
      </c>
      <c r="C10">
        <v>128</v>
      </c>
      <c r="D10" t="s">
        <v>11</v>
      </c>
      <c r="E10" t="b">
        <v>0</v>
      </c>
      <c r="F10" t="s">
        <v>9</v>
      </c>
      <c r="G10">
        <v>0.44537495950761202</v>
      </c>
      <c r="H10">
        <v>0.161100583090379</v>
      </c>
      <c r="I10">
        <f>(Table1[[#This Row],[QUERY_EN MRR@10]]+Table1[[#This Row],[QUERY_FR MRR@10]])/2</f>
        <v>0.30323777129899554</v>
      </c>
      <c r="J10">
        <f>Table1[[#This Row],[QUERY_EN MRR@10]]-Table1[[#This Row],[QUERY_FR MRR@10]]</f>
        <v>0.28427437641723302</v>
      </c>
      <c r="K10">
        <v>0.50612244897959102</v>
      </c>
      <c r="L10">
        <v>0.187755102040816</v>
      </c>
      <c r="M10">
        <f>(Table1[[#This Row],[QUERY_EN Recall@3]]+Table1[[#This Row],[QUERY_FR Recall@3]])/2</f>
        <v>0.34693877551020352</v>
      </c>
      <c r="N10">
        <f>Table1[[#This Row],[QUERY_EN Recall@3]]-Table1[[#This Row],[QUERY_FR Recall@3]]</f>
        <v>0.318367346938775</v>
      </c>
    </row>
    <row r="11" spans="1:57" x14ac:dyDescent="0.35">
      <c r="A11" t="s">
        <v>5</v>
      </c>
      <c r="B11">
        <v>384</v>
      </c>
      <c r="C11">
        <v>128</v>
      </c>
      <c r="D11" t="s">
        <v>11</v>
      </c>
      <c r="E11" t="b">
        <v>0</v>
      </c>
      <c r="F11" t="s">
        <v>10</v>
      </c>
      <c r="G11">
        <v>0.413499352121801</v>
      </c>
      <c r="H11">
        <v>0.229106737933268</v>
      </c>
      <c r="I11">
        <f>(Table1[[#This Row],[QUERY_EN MRR@10]]+Table1[[#This Row],[QUERY_FR MRR@10]])/2</f>
        <v>0.32130304502753448</v>
      </c>
      <c r="J11">
        <f>Table1[[#This Row],[QUERY_EN MRR@10]]-Table1[[#This Row],[QUERY_FR MRR@10]]</f>
        <v>0.18439261418853301</v>
      </c>
      <c r="K11">
        <v>0.477551020408163</v>
      </c>
      <c r="L11">
        <v>0.261224489795918</v>
      </c>
      <c r="M11">
        <f>(Table1[[#This Row],[QUERY_EN Recall@3]]+Table1[[#This Row],[QUERY_FR Recall@3]])/2</f>
        <v>0.36938775510204047</v>
      </c>
      <c r="N11">
        <f>Table1[[#This Row],[QUERY_EN Recall@3]]-Table1[[#This Row],[QUERY_FR Recall@3]]</f>
        <v>0.21632653061224499</v>
      </c>
    </row>
    <row r="12" spans="1:57" x14ac:dyDescent="0.35">
      <c r="A12" t="s">
        <v>6</v>
      </c>
      <c r="B12">
        <v>384</v>
      </c>
      <c r="C12">
        <v>128</v>
      </c>
      <c r="D12" t="s">
        <v>11</v>
      </c>
      <c r="E12" t="b">
        <v>1</v>
      </c>
      <c r="F12" t="s">
        <v>8</v>
      </c>
      <c r="G12">
        <v>0.30136135406543502</v>
      </c>
      <c r="H12">
        <v>0.179227405247813</v>
      </c>
      <c r="I12">
        <f>(Table1[[#This Row],[QUERY_EN MRR@10]]+Table1[[#This Row],[QUERY_FR MRR@10]])/2</f>
        <v>0.24029437965662401</v>
      </c>
      <c r="J12">
        <f>Table1[[#This Row],[QUERY_EN MRR@10]]-Table1[[#This Row],[QUERY_FR MRR@10]]</f>
        <v>0.12213394881762202</v>
      </c>
      <c r="K12">
        <v>0.34897959183673399</v>
      </c>
      <c r="L12">
        <v>0.208163265306122</v>
      </c>
      <c r="M12">
        <f>(Table1[[#This Row],[QUERY_EN Recall@3]]+Table1[[#This Row],[QUERY_FR Recall@3]])/2</f>
        <v>0.27857142857142803</v>
      </c>
      <c r="N12">
        <f>Table1[[#This Row],[QUERY_EN Recall@3]]-Table1[[#This Row],[QUERY_FR Recall@3]]</f>
        <v>0.14081632653061199</v>
      </c>
    </row>
    <row r="13" spans="1:57" x14ac:dyDescent="0.35">
      <c r="A13" t="s">
        <v>6</v>
      </c>
      <c r="B13">
        <v>384</v>
      </c>
      <c r="C13">
        <v>128</v>
      </c>
      <c r="D13" t="s">
        <v>11</v>
      </c>
      <c r="E13" t="b">
        <v>1</v>
      </c>
      <c r="F13" t="s">
        <v>9</v>
      </c>
      <c r="G13">
        <v>0.30543245869776398</v>
      </c>
      <c r="H13">
        <v>0.17495626822157401</v>
      </c>
      <c r="I13">
        <f>(Table1[[#This Row],[QUERY_EN MRR@10]]+Table1[[#This Row],[QUERY_FR MRR@10]])/2</f>
        <v>0.24019436345966899</v>
      </c>
      <c r="J13">
        <f>Table1[[#This Row],[QUERY_EN MRR@10]]-Table1[[#This Row],[QUERY_FR MRR@10]]</f>
        <v>0.13047619047618997</v>
      </c>
      <c r="K13">
        <v>0.35510204081632601</v>
      </c>
      <c r="L13">
        <v>0.21836734693877499</v>
      </c>
      <c r="M13">
        <f>(Table1[[#This Row],[QUERY_EN Recall@3]]+Table1[[#This Row],[QUERY_FR Recall@3]])/2</f>
        <v>0.28673469387755052</v>
      </c>
      <c r="N13">
        <f>Table1[[#This Row],[QUERY_EN Recall@3]]-Table1[[#This Row],[QUERY_FR Recall@3]]</f>
        <v>0.13673469387755102</v>
      </c>
    </row>
    <row r="14" spans="1:57" x14ac:dyDescent="0.35">
      <c r="A14" t="s">
        <v>6</v>
      </c>
      <c r="B14">
        <v>384</v>
      </c>
      <c r="C14">
        <v>128</v>
      </c>
      <c r="D14" t="s">
        <v>11</v>
      </c>
      <c r="E14" t="b">
        <v>1</v>
      </c>
      <c r="F14" t="s">
        <v>10</v>
      </c>
      <c r="G14">
        <v>0.292678976352445</v>
      </c>
      <c r="H14">
        <v>0.19318270165208901</v>
      </c>
      <c r="I14">
        <f>(Table1[[#This Row],[QUERY_EN MRR@10]]+Table1[[#This Row],[QUERY_FR MRR@10]])/2</f>
        <v>0.242930839002267</v>
      </c>
      <c r="J14">
        <f>Table1[[#This Row],[QUERY_EN MRR@10]]-Table1[[#This Row],[QUERY_FR MRR@10]]</f>
        <v>9.9496274700355991E-2</v>
      </c>
      <c r="K14">
        <v>0.34897959183673399</v>
      </c>
      <c r="L14">
        <v>0.22244897959183599</v>
      </c>
      <c r="M14">
        <f>(Table1[[#This Row],[QUERY_EN Recall@3]]+Table1[[#This Row],[QUERY_FR Recall@3]])/2</f>
        <v>0.28571428571428498</v>
      </c>
      <c r="N14">
        <f>Table1[[#This Row],[QUERY_EN Recall@3]]-Table1[[#This Row],[QUERY_FR Recall@3]]</f>
        <v>0.12653061224489801</v>
      </c>
    </row>
    <row r="15" spans="1:57" x14ac:dyDescent="0.35">
      <c r="A15" t="s">
        <v>20</v>
      </c>
      <c r="B15">
        <v>768</v>
      </c>
      <c r="C15">
        <v>8192</v>
      </c>
      <c r="D15" t="s">
        <v>11</v>
      </c>
      <c r="E15" t="b">
        <v>0</v>
      </c>
      <c r="F15" t="s">
        <v>8</v>
      </c>
      <c r="G15">
        <v>0.46644557823129201</v>
      </c>
      <c r="H15">
        <v>0.159377227081308</v>
      </c>
      <c r="I15">
        <f>(Table1[[#This Row],[QUERY_EN MRR@10]]+Table1[[#This Row],[QUERY_FR MRR@10]])/2</f>
        <v>0.31291140265630002</v>
      </c>
      <c r="J15">
        <f>Table1[[#This Row],[QUERY_EN MRR@10]]-Table1[[#This Row],[QUERY_FR MRR@10]]</f>
        <v>0.30706835114998399</v>
      </c>
      <c r="K15">
        <v>0.54081632653061196</v>
      </c>
      <c r="L15">
        <v>0.19183673469387699</v>
      </c>
      <c r="M15">
        <f>(Table1[[#This Row],[QUERY_EN Recall@3]]+Table1[[#This Row],[QUERY_FR Recall@3]])/2</f>
        <v>0.36632653061224446</v>
      </c>
      <c r="N15">
        <f>Table1[[#This Row],[QUERY_EN Recall@3]]-Table1[[#This Row],[QUERY_FR Recall@3]]</f>
        <v>0.34897959183673499</v>
      </c>
    </row>
    <row r="16" spans="1:57" x14ac:dyDescent="0.35">
      <c r="A16" t="s">
        <v>20</v>
      </c>
      <c r="B16">
        <v>768</v>
      </c>
      <c r="C16">
        <v>8192</v>
      </c>
      <c r="D16" t="s">
        <v>11</v>
      </c>
      <c r="E16" t="b">
        <v>0</v>
      </c>
      <c r="F16" t="s">
        <v>9</v>
      </c>
      <c r="G16">
        <v>0.47007450599287298</v>
      </c>
      <c r="H16">
        <v>0.24816812439261399</v>
      </c>
      <c r="I16">
        <f>(Table1[[#This Row],[QUERY_EN MRR@10]]+Table1[[#This Row],[QUERY_FR MRR@10]])/2</f>
        <v>0.35912131519274348</v>
      </c>
      <c r="J16">
        <f>Table1[[#This Row],[QUERY_EN MRR@10]]-Table1[[#This Row],[QUERY_FR MRR@10]]</f>
        <v>0.221906381600259</v>
      </c>
      <c r="K16">
        <v>0.530612244897959</v>
      </c>
      <c r="L16">
        <v>0.29387755102040802</v>
      </c>
      <c r="M16">
        <f>(Table1[[#This Row],[QUERY_EN Recall@3]]+Table1[[#This Row],[QUERY_FR Recall@3]])/2</f>
        <v>0.41224489795918351</v>
      </c>
      <c r="N16">
        <f>Table1[[#This Row],[QUERY_EN Recall@3]]-Table1[[#This Row],[QUERY_FR Recall@3]]</f>
        <v>0.23673469387755097</v>
      </c>
    </row>
    <row r="17" spans="1:14" x14ac:dyDescent="0.35">
      <c r="A17" t="s">
        <v>20</v>
      </c>
      <c r="B17">
        <v>768</v>
      </c>
      <c r="C17">
        <v>8192</v>
      </c>
      <c r="D17" t="s">
        <v>11</v>
      </c>
      <c r="E17" t="b">
        <v>0</v>
      </c>
      <c r="F17" t="s">
        <v>10</v>
      </c>
      <c r="G17">
        <v>0.47996031746031698</v>
      </c>
      <c r="H17">
        <v>0.277728377065111</v>
      </c>
      <c r="I17">
        <f>(Table1[[#This Row],[QUERY_EN MRR@10]]+Table1[[#This Row],[QUERY_FR MRR@10]])/2</f>
        <v>0.37884434726271399</v>
      </c>
      <c r="J17">
        <f>Table1[[#This Row],[QUERY_EN MRR@10]]-Table1[[#This Row],[QUERY_FR MRR@10]]</f>
        <v>0.20223194039520598</v>
      </c>
      <c r="K17">
        <v>0.54081632653061196</v>
      </c>
      <c r="L17">
        <v>0.34285714285714203</v>
      </c>
      <c r="M17">
        <f>(Table1[[#This Row],[QUERY_EN Recall@3]]+Table1[[#This Row],[QUERY_FR Recall@3]])/2</f>
        <v>0.44183673469387696</v>
      </c>
      <c r="N17">
        <f>Table1[[#This Row],[QUERY_EN Recall@3]]-Table1[[#This Row],[QUERY_FR Recall@3]]</f>
        <v>0.19795918367346993</v>
      </c>
    </row>
    <row r="18" spans="1:14" x14ac:dyDescent="0.35">
      <c r="A18" t="s">
        <v>18</v>
      </c>
      <c r="B18">
        <v>768</v>
      </c>
      <c r="C18">
        <v>8192</v>
      </c>
      <c r="D18" t="s">
        <v>11</v>
      </c>
      <c r="E18" t="b">
        <v>1</v>
      </c>
      <c r="F18" t="s">
        <v>8</v>
      </c>
      <c r="G18">
        <v>0.44524214447683802</v>
      </c>
      <c r="H18">
        <v>0.32356737933268498</v>
      </c>
      <c r="I18">
        <f>(Table1[[#This Row],[QUERY_EN MRR@10]]+Table1[[#This Row],[QUERY_FR MRR@10]])/2</f>
        <v>0.38440476190476147</v>
      </c>
      <c r="J18">
        <f>Table1[[#This Row],[QUERY_EN MRR@10]]-Table1[[#This Row],[QUERY_FR MRR@10]]</f>
        <v>0.12167476514415304</v>
      </c>
      <c r="K18">
        <v>0.52040816326530603</v>
      </c>
      <c r="L18">
        <v>0.38571428571428501</v>
      </c>
      <c r="M18">
        <f>(Table1[[#This Row],[QUERY_EN Recall@3]]+Table1[[#This Row],[QUERY_FR Recall@3]])/2</f>
        <v>0.45306122448979552</v>
      </c>
      <c r="N18">
        <f>Table1[[#This Row],[QUERY_EN Recall@3]]-Table1[[#This Row],[QUERY_FR Recall@3]]</f>
        <v>0.13469387755102102</v>
      </c>
    </row>
    <row r="19" spans="1:14" x14ac:dyDescent="0.35">
      <c r="A19" t="s">
        <v>18</v>
      </c>
      <c r="B19">
        <v>768</v>
      </c>
      <c r="C19">
        <v>8192</v>
      </c>
      <c r="D19" t="s">
        <v>11</v>
      </c>
      <c r="E19" t="b">
        <v>1</v>
      </c>
      <c r="F19" t="s">
        <v>9</v>
      </c>
      <c r="G19">
        <v>0.42019679300291501</v>
      </c>
      <c r="H19">
        <v>0.34493359248461197</v>
      </c>
      <c r="I19">
        <f>(Table1[[#This Row],[QUERY_EN MRR@10]]+Table1[[#This Row],[QUERY_FR MRR@10]])/2</f>
        <v>0.38256519274376349</v>
      </c>
      <c r="J19">
        <f>Table1[[#This Row],[QUERY_EN MRR@10]]-Table1[[#This Row],[QUERY_FR MRR@10]]</f>
        <v>7.5263200518303042E-2</v>
      </c>
      <c r="K19">
        <v>0.5</v>
      </c>
      <c r="L19">
        <v>0.40408163265306102</v>
      </c>
      <c r="M19">
        <f>(Table1[[#This Row],[QUERY_EN Recall@3]]+Table1[[#This Row],[QUERY_FR Recall@3]])/2</f>
        <v>0.45204081632653048</v>
      </c>
      <c r="N19">
        <f>Table1[[#This Row],[QUERY_EN Recall@3]]-Table1[[#This Row],[QUERY_FR Recall@3]]</f>
        <v>9.5918367346938982E-2</v>
      </c>
    </row>
    <row r="20" spans="1:14" x14ac:dyDescent="0.35">
      <c r="A20" t="s">
        <v>18</v>
      </c>
      <c r="B20">
        <v>768</v>
      </c>
      <c r="C20">
        <v>8192</v>
      </c>
      <c r="D20" t="s">
        <v>11</v>
      </c>
      <c r="E20" t="b">
        <v>1</v>
      </c>
      <c r="F20" t="s">
        <v>10</v>
      </c>
      <c r="G20">
        <v>0.41708616780045299</v>
      </c>
      <c r="H20">
        <v>0.35406543569808802</v>
      </c>
      <c r="I20">
        <f>(Table1[[#This Row],[QUERY_EN MRR@10]]+Table1[[#This Row],[QUERY_FR MRR@10]])/2</f>
        <v>0.38557580174927053</v>
      </c>
      <c r="J20">
        <f>Table1[[#This Row],[QUERY_EN MRR@10]]-Table1[[#This Row],[QUERY_FR MRR@10]]</f>
        <v>6.3020732102364974E-2</v>
      </c>
      <c r="K20">
        <v>0.48775510204081601</v>
      </c>
      <c r="L20">
        <v>0.41224489795918301</v>
      </c>
      <c r="M20">
        <f>(Table1[[#This Row],[QUERY_EN Recall@3]]+Table1[[#This Row],[QUERY_FR Recall@3]])/2</f>
        <v>0.44999999999999951</v>
      </c>
      <c r="N20">
        <f>Table1[[#This Row],[QUERY_EN Recall@3]]-Table1[[#This Row],[QUERY_FR Recall@3]]</f>
        <v>7.5510204081633003E-2</v>
      </c>
    </row>
  </sheetData>
  <mergeCells count="2">
    <mergeCell ref="G1:H1"/>
    <mergeCell ref="K1:L1"/>
  </mergeCells>
  <phoneticPr fontId="3" type="noConversion"/>
  <conditionalFormatting sqref="G1:G1048576">
    <cfRule type="top10" dxfId="15" priority="15" percent="1" bottom="1" rank="5"/>
    <cfRule type="top10" dxfId="14" priority="16" percent="1" rank="5"/>
  </conditionalFormatting>
  <conditionalFormatting sqref="H3:H20">
    <cfRule type="top10" dxfId="13" priority="23" percent="1" rank="5"/>
  </conditionalFormatting>
  <conditionalFormatting sqref="H2:J1048576">
    <cfRule type="top10" dxfId="12" priority="13" percent="1" bottom="1" rank="5"/>
    <cfRule type="top10" dxfId="11" priority="14" percent="1" rank="5"/>
  </conditionalFormatting>
  <conditionalFormatting sqref="I3:J20">
    <cfRule type="top10" dxfId="10" priority="31" percent="1" bottom="1" rank="5"/>
    <cfRule type="top10" dxfId="9" priority="32" percent="1" rank="5"/>
  </conditionalFormatting>
  <conditionalFormatting sqref="K1:K2">
    <cfRule type="top10" dxfId="8" priority="11" percent="1" bottom="1" rank="5"/>
    <cfRule type="top10" dxfId="7" priority="12" percent="1" rank="5"/>
  </conditionalFormatting>
  <conditionalFormatting sqref="K1:K1048576">
    <cfRule type="top10" dxfId="6" priority="7" percent="1" bottom="1" rank="5"/>
    <cfRule type="top10" dxfId="5" priority="8" percent="1" rank="5"/>
  </conditionalFormatting>
  <conditionalFormatting sqref="L2">
    <cfRule type="top10" dxfId="4" priority="9" percent="1" bottom="1" rank="5"/>
    <cfRule type="top10" dxfId="3" priority="10" percent="1" rank="5"/>
  </conditionalFormatting>
  <conditionalFormatting sqref="L2:L1048576">
    <cfRule type="top10" dxfId="2" priority="5" percent="1" bottom="1" rank="5"/>
    <cfRule type="top10" dxfId="1" priority="6" percent="1" rank="5"/>
  </conditionalFormatting>
  <conditionalFormatting sqref="M3:M20">
    <cfRule type="top10" dxfId="0" priority="47" percent="1" rank="5"/>
  </conditionalFormatting>
  <hyperlinks>
    <hyperlink ref="I2" r:id="rId1" xr:uid="{A5319925-14EA-4DD5-AB95-BAEB9F6F3E33}"/>
    <hyperlink ref="M2" r:id="rId2" xr:uid="{81B81DC1-5DB7-4819-A6C3-7BB0C1CAF522}"/>
  </hyperlinks>
  <pageMargins left="0.7" right="0.7" top="0.75" bottom="0.75" header="0.3" footer="0.3"/>
  <pageSetup orientation="portrait" r:id="rId3"/>
  <headerFooter>
    <oddHeader>&amp;R&amp;"Aptos"&amp;12&amp;K000000 UNCLASSIFIED - NON CLASSIFIÉ&amp;1#_x000D_</oddHeader>
  </headerFooter>
  <drawing r:id="rId4"/>
  <tableParts count="1"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CF23A-4FC6-4C93-84E5-B43309604A12}">
  <dimension ref="A1:F86"/>
  <sheetViews>
    <sheetView topLeftCell="A55" zoomScaleNormal="100" workbookViewId="0">
      <selection activeCell="B76" sqref="B76"/>
    </sheetView>
  </sheetViews>
  <sheetFormatPr defaultRowHeight="14.5" x14ac:dyDescent="0.35"/>
  <cols>
    <col min="1" max="1" width="37" customWidth="1"/>
    <col min="2" max="2" width="36.6328125" customWidth="1"/>
    <col min="3" max="3" width="22.36328125" customWidth="1"/>
    <col min="5" max="5" width="19.81640625" customWidth="1"/>
  </cols>
  <sheetData>
    <row r="1" spans="1:6" ht="46" customHeight="1" x14ac:dyDescent="0.35">
      <c r="A1" s="1"/>
      <c r="B1" s="1"/>
      <c r="C1" s="1"/>
      <c r="D1" s="1"/>
      <c r="E1" s="3" t="s">
        <v>16</v>
      </c>
      <c r="F1" s="1"/>
    </row>
    <row r="2" spans="1:6" x14ac:dyDescent="0.35">
      <c r="A2" s="1" t="s">
        <v>0</v>
      </c>
      <c r="B2" s="1" t="s">
        <v>23</v>
      </c>
      <c r="C2" s="1" t="s">
        <v>1</v>
      </c>
      <c r="D2" s="1" t="s">
        <v>24</v>
      </c>
      <c r="E2" s="1" t="s">
        <v>25</v>
      </c>
      <c r="F2" s="1" t="s">
        <v>26</v>
      </c>
    </row>
    <row r="3" spans="1:6" x14ac:dyDescent="0.35">
      <c r="A3" t="s">
        <v>3</v>
      </c>
      <c r="B3" t="s">
        <v>27</v>
      </c>
      <c r="C3" t="s">
        <v>28</v>
      </c>
      <c r="D3" t="b">
        <v>0</v>
      </c>
      <c r="E3">
        <v>0.51149999999999995</v>
      </c>
    </row>
    <row r="4" spans="1:6" x14ac:dyDescent="0.35">
      <c r="A4" t="s">
        <v>3</v>
      </c>
      <c r="B4" t="s">
        <v>29</v>
      </c>
      <c r="C4" t="s">
        <v>28</v>
      </c>
      <c r="D4" t="b">
        <v>0</v>
      </c>
      <c r="E4">
        <v>0.50380000000000003</v>
      </c>
    </row>
    <row r="5" spans="1:6" x14ac:dyDescent="0.35">
      <c r="A5" t="s">
        <v>3</v>
      </c>
      <c r="B5" t="s">
        <v>30</v>
      </c>
      <c r="C5" t="s">
        <v>28</v>
      </c>
      <c r="D5" t="b">
        <v>0</v>
      </c>
      <c r="E5">
        <v>0.51180000000000003</v>
      </c>
    </row>
    <row r="6" spans="1:6" x14ac:dyDescent="0.35">
      <c r="A6" t="s">
        <v>3</v>
      </c>
      <c r="B6" t="s">
        <v>63</v>
      </c>
      <c r="C6" t="s">
        <v>28</v>
      </c>
      <c r="D6" t="b">
        <v>0</v>
      </c>
      <c r="E6">
        <v>0.52259999999999995</v>
      </c>
      <c r="F6" t="s">
        <v>31</v>
      </c>
    </row>
    <row r="7" spans="1:6" x14ac:dyDescent="0.35">
      <c r="A7" t="s">
        <v>3</v>
      </c>
      <c r="B7" t="s">
        <v>32</v>
      </c>
      <c r="C7" t="s">
        <v>28</v>
      </c>
      <c r="D7" t="b">
        <v>0</v>
      </c>
      <c r="E7">
        <v>0.50529999999999997</v>
      </c>
    </row>
    <row r="8" spans="1:6" x14ac:dyDescent="0.35">
      <c r="A8" t="s">
        <v>3</v>
      </c>
      <c r="B8" t="s">
        <v>33</v>
      </c>
      <c r="C8" t="s">
        <v>28</v>
      </c>
      <c r="D8" t="b">
        <v>0</v>
      </c>
      <c r="E8">
        <v>0.50509999999999999</v>
      </c>
    </row>
    <row r="9" spans="1:6" x14ac:dyDescent="0.35">
      <c r="A9" t="s">
        <v>3</v>
      </c>
      <c r="B9" t="s">
        <v>34</v>
      </c>
      <c r="C9" t="s">
        <v>28</v>
      </c>
      <c r="D9" t="b">
        <v>0</v>
      </c>
      <c r="E9">
        <v>0.50280000000000002</v>
      </c>
    </row>
    <row r="10" spans="1:6" x14ac:dyDescent="0.35">
      <c r="A10" t="s">
        <v>3</v>
      </c>
      <c r="B10" t="s">
        <v>35</v>
      </c>
      <c r="C10" t="s">
        <v>28</v>
      </c>
      <c r="D10" t="b">
        <v>0</v>
      </c>
      <c r="E10">
        <v>0.50390000000000001</v>
      </c>
    </row>
    <row r="12" spans="1:6" x14ac:dyDescent="0.35">
      <c r="A12" t="s">
        <v>4</v>
      </c>
      <c r="B12" t="s">
        <v>27</v>
      </c>
      <c r="C12" t="s">
        <v>28</v>
      </c>
      <c r="D12" t="b">
        <v>0</v>
      </c>
      <c r="E12">
        <v>0.49469999999999997</v>
      </c>
      <c r="F12" t="s">
        <v>31</v>
      </c>
    </row>
    <row r="13" spans="1:6" x14ac:dyDescent="0.35">
      <c r="A13" t="s">
        <v>4</v>
      </c>
      <c r="B13" t="s">
        <v>52</v>
      </c>
      <c r="C13" t="s">
        <v>28</v>
      </c>
      <c r="D13" t="b">
        <v>0</v>
      </c>
      <c r="E13">
        <v>0.4753</v>
      </c>
    </row>
    <row r="14" spans="1:6" x14ac:dyDescent="0.35">
      <c r="A14" t="s">
        <v>4</v>
      </c>
      <c r="B14" t="s">
        <v>30</v>
      </c>
      <c r="C14" t="s">
        <v>28</v>
      </c>
      <c r="D14" t="b">
        <v>0</v>
      </c>
      <c r="E14">
        <v>0.48730000000000001</v>
      </c>
    </row>
    <row r="15" spans="1:6" x14ac:dyDescent="0.35">
      <c r="A15" t="s">
        <v>4</v>
      </c>
      <c r="B15" t="s">
        <v>36</v>
      </c>
      <c r="C15" t="s">
        <v>28</v>
      </c>
      <c r="D15" t="b">
        <v>0</v>
      </c>
      <c r="E15">
        <v>0.48630000000000001</v>
      </c>
    </row>
    <row r="16" spans="1:6" x14ac:dyDescent="0.35">
      <c r="A16" t="s">
        <v>4</v>
      </c>
      <c r="B16" t="s">
        <v>37</v>
      </c>
      <c r="C16" t="s">
        <v>28</v>
      </c>
      <c r="D16" t="b">
        <v>0</v>
      </c>
      <c r="E16">
        <v>0.48770000000000002</v>
      </c>
    </row>
    <row r="17" spans="1:6" x14ac:dyDescent="0.35">
      <c r="A17" t="s">
        <v>4</v>
      </c>
      <c r="B17" t="s">
        <v>38</v>
      </c>
      <c r="C17" t="s">
        <v>28</v>
      </c>
      <c r="D17" t="b">
        <v>0</v>
      </c>
      <c r="E17">
        <v>0.4824</v>
      </c>
    </row>
    <row r="18" spans="1:6" x14ac:dyDescent="0.35">
      <c r="A18" t="s">
        <v>4</v>
      </c>
      <c r="B18" t="s">
        <v>39</v>
      </c>
      <c r="C18" t="s">
        <v>28</v>
      </c>
      <c r="D18" t="b">
        <v>0</v>
      </c>
      <c r="E18">
        <v>0.46960000000000002</v>
      </c>
    </row>
    <row r="20" spans="1:6" x14ac:dyDescent="0.35">
      <c r="A20" t="s">
        <v>4</v>
      </c>
      <c r="B20" t="s">
        <v>27</v>
      </c>
      <c r="C20" t="s">
        <v>40</v>
      </c>
      <c r="D20" t="b">
        <v>1</v>
      </c>
      <c r="E20">
        <v>0.31569999999999998</v>
      </c>
      <c r="F20" t="s">
        <v>31</v>
      </c>
    </row>
    <row r="21" spans="1:6" x14ac:dyDescent="0.35">
      <c r="A21" t="s">
        <v>4</v>
      </c>
      <c r="B21" t="s">
        <v>52</v>
      </c>
      <c r="C21" t="s">
        <v>40</v>
      </c>
      <c r="D21" t="b">
        <v>1</v>
      </c>
      <c r="E21">
        <v>0.30640000000000001</v>
      </c>
    </row>
    <row r="22" spans="1:6" x14ac:dyDescent="0.35">
      <c r="A22" t="s">
        <v>4</v>
      </c>
      <c r="B22" t="s">
        <v>41</v>
      </c>
      <c r="C22" t="s">
        <v>40</v>
      </c>
      <c r="D22" t="b">
        <v>1</v>
      </c>
      <c r="E22">
        <v>0.30299999999999999</v>
      </c>
    </row>
    <row r="23" spans="1:6" x14ac:dyDescent="0.35">
      <c r="A23" t="s">
        <v>4</v>
      </c>
      <c r="B23" t="s">
        <v>42</v>
      </c>
      <c r="C23" t="s">
        <v>40</v>
      </c>
      <c r="D23" t="b">
        <v>1</v>
      </c>
      <c r="E23">
        <v>0.31159999999999999</v>
      </c>
    </row>
    <row r="24" spans="1:6" x14ac:dyDescent="0.35">
      <c r="A24" t="s">
        <v>4</v>
      </c>
      <c r="B24" t="s">
        <v>43</v>
      </c>
      <c r="C24" t="s">
        <v>40</v>
      </c>
      <c r="D24" t="b">
        <v>1</v>
      </c>
      <c r="E24">
        <v>0.30959999999999999</v>
      </c>
    </row>
    <row r="25" spans="1:6" x14ac:dyDescent="0.35">
      <c r="A25" t="s">
        <v>4</v>
      </c>
      <c r="B25" t="s">
        <v>38</v>
      </c>
      <c r="C25" t="s">
        <v>40</v>
      </c>
      <c r="D25" t="b">
        <v>1</v>
      </c>
      <c r="E25">
        <v>0.29749999999999999</v>
      </c>
    </row>
    <row r="26" spans="1:6" x14ac:dyDescent="0.35">
      <c r="A26" t="s">
        <v>4</v>
      </c>
      <c r="B26" t="s">
        <v>39</v>
      </c>
      <c r="C26" t="s">
        <v>40</v>
      </c>
      <c r="D26" t="b">
        <v>1</v>
      </c>
      <c r="E26">
        <v>0.30980000000000002</v>
      </c>
    </row>
    <row r="28" spans="1:6" x14ac:dyDescent="0.35">
      <c r="A28" s="6" t="s">
        <v>4</v>
      </c>
      <c r="B28" t="s">
        <v>27</v>
      </c>
      <c r="C28" s="7" t="s">
        <v>44</v>
      </c>
      <c r="D28" t="b">
        <v>1</v>
      </c>
      <c r="E28">
        <v>0.29430000000000001</v>
      </c>
    </row>
    <row r="29" spans="1:6" x14ac:dyDescent="0.35">
      <c r="A29" s="6" t="s">
        <v>4</v>
      </c>
      <c r="B29" t="s">
        <v>45</v>
      </c>
      <c r="C29" s="7" t="s">
        <v>44</v>
      </c>
      <c r="D29" t="b">
        <v>1</v>
      </c>
      <c r="E29">
        <v>0.29949999999999999</v>
      </c>
    </row>
    <row r="30" spans="1:6" x14ac:dyDescent="0.35">
      <c r="A30" s="6" t="s">
        <v>4</v>
      </c>
      <c r="B30" t="s">
        <v>38</v>
      </c>
      <c r="C30" s="7" t="s">
        <v>44</v>
      </c>
      <c r="D30" t="b">
        <v>1</v>
      </c>
      <c r="E30">
        <v>0.3029</v>
      </c>
      <c r="F30" t="s">
        <v>31</v>
      </c>
    </row>
    <row r="31" spans="1:6" x14ac:dyDescent="0.35">
      <c r="A31" s="6" t="s">
        <v>4</v>
      </c>
      <c r="B31" t="s">
        <v>54</v>
      </c>
      <c r="C31" s="7" t="s">
        <v>44</v>
      </c>
      <c r="D31" t="b">
        <v>1</v>
      </c>
      <c r="E31">
        <v>0.28670000000000001</v>
      </c>
    </row>
    <row r="32" spans="1:6" x14ac:dyDescent="0.35">
      <c r="A32" s="6" t="s">
        <v>4</v>
      </c>
      <c r="B32" t="s">
        <v>39</v>
      </c>
      <c r="C32" s="7" t="s">
        <v>44</v>
      </c>
      <c r="D32" t="b">
        <v>1</v>
      </c>
      <c r="E32">
        <v>0.28670000000000001</v>
      </c>
    </row>
    <row r="34" spans="1:6" x14ac:dyDescent="0.35">
      <c r="A34" t="s">
        <v>5</v>
      </c>
      <c r="B34" t="s">
        <v>27</v>
      </c>
      <c r="C34" t="s">
        <v>28</v>
      </c>
      <c r="D34" s="5" t="b">
        <v>0</v>
      </c>
      <c r="E34">
        <v>0.49480000000000002</v>
      </c>
    </row>
    <row r="35" spans="1:6" x14ac:dyDescent="0.35">
      <c r="A35" t="s">
        <v>5</v>
      </c>
      <c r="B35" t="s">
        <v>53</v>
      </c>
      <c r="C35" t="s">
        <v>28</v>
      </c>
      <c r="D35" s="5" t="b">
        <v>0</v>
      </c>
      <c r="E35">
        <v>0.51190000000000002</v>
      </c>
      <c r="F35" t="s">
        <v>31</v>
      </c>
    </row>
    <row r="36" spans="1:6" x14ac:dyDescent="0.35">
      <c r="A36" t="s">
        <v>5</v>
      </c>
      <c r="B36" t="s">
        <v>42</v>
      </c>
      <c r="C36" t="s">
        <v>28</v>
      </c>
      <c r="D36" s="7" t="b">
        <v>0</v>
      </c>
      <c r="E36">
        <v>0.49130000000000001</v>
      </c>
    </row>
    <row r="37" spans="1:6" x14ac:dyDescent="0.35">
      <c r="A37" t="s">
        <v>5</v>
      </c>
      <c r="B37" t="s">
        <v>38</v>
      </c>
      <c r="C37" t="s">
        <v>28</v>
      </c>
      <c r="D37" s="7" t="b">
        <v>0</v>
      </c>
      <c r="E37">
        <v>0.4824</v>
      </c>
    </row>
    <row r="38" spans="1:6" x14ac:dyDescent="0.35">
      <c r="A38" t="s">
        <v>5</v>
      </c>
      <c r="B38" t="s">
        <v>39</v>
      </c>
      <c r="C38" t="s">
        <v>28</v>
      </c>
      <c r="D38" s="7" t="b">
        <v>0</v>
      </c>
      <c r="E38">
        <v>0.49080000000000001</v>
      </c>
    </row>
    <row r="40" spans="1:6" x14ac:dyDescent="0.35">
      <c r="A40" t="s">
        <v>6</v>
      </c>
      <c r="B40" s="7" t="s">
        <v>27</v>
      </c>
      <c r="C40" s="7" t="s">
        <v>28</v>
      </c>
      <c r="D40" s="7" t="b">
        <v>0</v>
      </c>
      <c r="E40">
        <v>0.45800000000000002</v>
      </c>
    </row>
    <row r="41" spans="1:6" x14ac:dyDescent="0.35">
      <c r="A41" t="s">
        <v>6</v>
      </c>
      <c r="B41" s="7" t="s">
        <v>52</v>
      </c>
      <c r="C41" s="7" t="s">
        <v>28</v>
      </c>
      <c r="D41" s="7" t="b">
        <v>0</v>
      </c>
      <c r="E41">
        <v>0.4677</v>
      </c>
    </row>
    <row r="42" spans="1:6" x14ac:dyDescent="0.35">
      <c r="A42" t="s">
        <v>6</v>
      </c>
      <c r="B42" s="7" t="s">
        <v>53</v>
      </c>
      <c r="C42" s="7" t="s">
        <v>28</v>
      </c>
      <c r="D42" s="7" t="b">
        <v>0</v>
      </c>
      <c r="E42">
        <v>0.47099999999999997</v>
      </c>
      <c r="F42" t="s">
        <v>31</v>
      </c>
    </row>
    <row r="43" spans="1:6" x14ac:dyDescent="0.35">
      <c r="A43" t="s">
        <v>6</v>
      </c>
      <c r="B43" t="s">
        <v>38</v>
      </c>
      <c r="C43" s="7" t="s">
        <v>28</v>
      </c>
      <c r="D43" s="7" t="b">
        <v>0</v>
      </c>
      <c r="E43">
        <v>0.45619999999999999</v>
      </c>
    </row>
    <row r="45" spans="1:6" x14ac:dyDescent="0.35">
      <c r="A45" t="s">
        <v>6</v>
      </c>
      <c r="B45" t="s">
        <v>27</v>
      </c>
      <c r="C45" s="7" t="s">
        <v>40</v>
      </c>
      <c r="D45" s="7" t="b">
        <v>1</v>
      </c>
      <c r="E45">
        <v>0.2893</v>
      </c>
    </row>
    <row r="46" spans="1:6" x14ac:dyDescent="0.35">
      <c r="A46" t="s">
        <v>6</v>
      </c>
      <c r="B46" t="s">
        <v>45</v>
      </c>
      <c r="C46" s="7" t="s">
        <v>40</v>
      </c>
      <c r="D46" s="7" t="b">
        <v>1</v>
      </c>
      <c r="E46">
        <v>0.2893</v>
      </c>
    </row>
    <row r="47" spans="1:6" x14ac:dyDescent="0.35">
      <c r="A47" t="s">
        <v>6</v>
      </c>
      <c r="B47" t="s">
        <v>53</v>
      </c>
      <c r="C47" s="7" t="s">
        <v>40</v>
      </c>
      <c r="D47" s="7" t="b">
        <v>1</v>
      </c>
      <c r="E47">
        <v>0.29630000000000001</v>
      </c>
      <c r="F47" t="s">
        <v>31</v>
      </c>
    </row>
    <row r="48" spans="1:6" x14ac:dyDescent="0.35">
      <c r="A48" t="s">
        <v>6</v>
      </c>
      <c r="B48" t="s">
        <v>43</v>
      </c>
      <c r="C48" s="7" t="s">
        <v>40</v>
      </c>
      <c r="D48" s="7" t="b">
        <v>1</v>
      </c>
      <c r="E48">
        <v>0.28639999999999999</v>
      </c>
    </row>
    <row r="49" spans="1:6" x14ac:dyDescent="0.35">
      <c r="A49" t="s">
        <v>6</v>
      </c>
      <c r="B49" t="s">
        <v>38</v>
      </c>
      <c r="C49" s="7" t="s">
        <v>40</v>
      </c>
      <c r="D49" s="7" t="b">
        <v>1</v>
      </c>
      <c r="E49">
        <v>0.28410000000000002</v>
      </c>
    </row>
    <row r="50" spans="1:6" x14ac:dyDescent="0.35">
      <c r="A50" t="s">
        <v>6</v>
      </c>
      <c r="B50" t="s">
        <v>39</v>
      </c>
      <c r="C50" s="7" t="s">
        <v>40</v>
      </c>
      <c r="D50" s="7" t="b">
        <v>1</v>
      </c>
      <c r="E50">
        <v>0.2873</v>
      </c>
    </row>
    <row r="52" spans="1:6" x14ac:dyDescent="0.35">
      <c r="A52" s="6" t="s">
        <v>6</v>
      </c>
      <c r="B52" s="7" t="s">
        <v>27</v>
      </c>
      <c r="C52" s="7" t="s">
        <v>44</v>
      </c>
      <c r="D52" s="7" t="b">
        <v>1</v>
      </c>
      <c r="E52">
        <v>0.2767</v>
      </c>
    </row>
    <row r="53" spans="1:6" x14ac:dyDescent="0.35">
      <c r="A53" s="6" t="s">
        <v>6</v>
      </c>
      <c r="B53" s="7" t="s">
        <v>43</v>
      </c>
      <c r="C53" s="7" t="s">
        <v>44</v>
      </c>
      <c r="D53" s="7" t="b">
        <v>1</v>
      </c>
      <c r="E53">
        <v>0.30030000000000001</v>
      </c>
    </row>
    <row r="54" spans="1:6" x14ac:dyDescent="0.35">
      <c r="A54" s="6" t="s">
        <v>6</v>
      </c>
      <c r="B54" s="7" t="s">
        <v>59</v>
      </c>
      <c r="C54" s="7" t="s">
        <v>44</v>
      </c>
      <c r="D54" s="7" t="b">
        <v>1</v>
      </c>
      <c r="E54">
        <v>0.30669999999999997</v>
      </c>
    </row>
    <row r="55" spans="1:6" x14ac:dyDescent="0.35">
      <c r="A55" s="6" t="s">
        <v>6</v>
      </c>
      <c r="B55" s="7" t="s">
        <v>60</v>
      </c>
      <c r="C55" s="7" t="s">
        <v>44</v>
      </c>
      <c r="D55" s="7" t="b">
        <v>1</v>
      </c>
      <c r="E55">
        <v>0.30680000000000002</v>
      </c>
      <c r="F55" t="s">
        <v>31</v>
      </c>
    </row>
    <row r="56" spans="1:6" x14ac:dyDescent="0.35">
      <c r="A56" s="6" t="s">
        <v>6</v>
      </c>
      <c r="B56" s="7" t="s">
        <v>38</v>
      </c>
      <c r="C56" s="7" t="s">
        <v>44</v>
      </c>
      <c r="D56" s="7" t="b">
        <v>1</v>
      </c>
      <c r="E56">
        <v>0.27539999999999998</v>
      </c>
    </row>
    <row r="57" spans="1:6" x14ac:dyDescent="0.35">
      <c r="A57" s="6" t="s">
        <v>6</v>
      </c>
      <c r="B57" s="7" t="s">
        <v>39</v>
      </c>
      <c r="C57" s="7" t="s">
        <v>44</v>
      </c>
      <c r="D57" s="7" t="b">
        <v>1</v>
      </c>
      <c r="E57">
        <v>0.29070000000000001</v>
      </c>
    </row>
    <row r="58" spans="1:6" x14ac:dyDescent="0.35">
      <c r="A58" s="6" t="s">
        <v>6</v>
      </c>
      <c r="B58" s="7" t="s">
        <v>46</v>
      </c>
      <c r="C58" s="7" t="s">
        <v>44</v>
      </c>
      <c r="D58" s="7" t="b">
        <v>1</v>
      </c>
      <c r="E58">
        <v>0.2848</v>
      </c>
    </row>
    <row r="60" spans="1:6" x14ac:dyDescent="0.35">
      <c r="A60" t="s">
        <v>47</v>
      </c>
      <c r="B60" t="s">
        <v>49</v>
      </c>
      <c r="C60" s="7" t="s">
        <v>28</v>
      </c>
      <c r="D60" s="7" t="b">
        <v>0</v>
      </c>
      <c r="E60">
        <v>0.51370000000000005</v>
      </c>
    </row>
    <row r="61" spans="1:6" x14ac:dyDescent="0.35">
      <c r="A61" t="s">
        <v>47</v>
      </c>
      <c r="B61" t="s">
        <v>52</v>
      </c>
      <c r="C61" s="7" t="s">
        <v>28</v>
      </c>
      <c r="D61" s="7" t="b">
        <v>0</v>
      </c>
      <c r="E61">
        <v>0.5151</v>
      </c>
    </row>
    <row r="62" spans="1:6" x14ac:dyDescent="0.35">
      <c r="A62" t="s">
        <v>47</v>
      </c>
      <c r="B62" t="s">
        <v>53</v>
      </c>
      <c r="C62" s="7" t="s">
        <v>28</v>
      </c>
      <c r="D62" s="7" t="b">
        <v>0</v>
      </c>
      <c r="E62">
        <v>0.52139999999999997</v>
      </c>
      <c r="F62" t="s">
        <v>31</v>
      </c>
    </row>
    <row r="63" spans="1:6" x14ac:dyDescent="0.35">
      <c r="A63" t="s">
        <v>47</v>
      </c>
      <c r="B63" t="s">
        <v>50</v>
      </c>
      <c r="C63" s="7" t="s">
        <v>28</v>
      </c>
      <c r="D63" s="7" t="b">
        <v>0</v>
      </c>
      <c r="E63">
        <v>0.5121</v>
      </c>
    </row>
    <row r="64" spans="1:6" x14ac:dyDescent="0.35">
      <c r="A64" t="s">
        <v>47</v>
      </c>
      <c r="B64" t="s">
        <v>54</v>
      </c>
      <c r="C64" s="7" t="s">
        <v>28</v>
      </c>
      <c r="D64" s="7" t="b">
        <v>0</v>
      </c>
      <c r="E64">
        <v>0.51390000000000002</v>
      </c>
    </row>
    <row r="66" spans="1:6" x14ac:dyDescent="0.35">
      <c r="A66" t="s">
        <v>55</v>
      </c>
      <c r="B66" t="s">
        <v>52</v>
      </c>
      <c r="C66" t="s">
        <v>28</v>
      </c>
      <c r="D66" t="b">
        <v>0</v>
      </c>
      <c r="E66">
        <v>0.52590000000000003</v>
      </c>
    </row>
    <row r="67" spans="1:6" x14ac:dyDescent="0.35">
      <c r="A67" t="s">
        <v>55</v>
      </c>
      <c r="B67" t="s">
        <v>64</v>
      </c>
      <c r="C67" t="s">
        <v>28</v>
      </c>
      <c r="D67" t="b">
        <v>0</v>
      </c>
      <c r="E67">
        <v>0.52439999999999998</v>
      </c>
    </row>
    <row r="68" spans="1:6" x14ac:dyDescent="0.35">
      <c r="A68" t="s">
        <v>55</v>
      </c>
      <c r="B68" t="s">
        <v>53</v>
      </c>
      <c r="C68" t="s">
        <v>28</v>
      </c>
      <c r="D68" t="b">
        <v>0</v>
      </c>
      <c r="E68">
        <v>0.52759999999999996</v>
      </c>
    </row>
    <row r="69" spans="1:6" x14ac:dyDescent="0.35">
      <c r="A69" t="s">
        <v>55</v>
      </c>
      <c r="B69" t="s">
        <v>56</v>
      </c>
      <c r="C69" t="s">
        <v>28</v>
      </c>
      <c r="D69" t="b">
        <v>0</v>
      </c>
      <c r="E69">
        <v>0.52780000000000005</v>
      </c>
      <c r="F69" t="s">
        <v>31</v>
      </c>
    </row>
    <row r="70" spans="1:6" x14ac:dyDescent="0.35">
      <c r="A70" t="s">
        <v>55</v>
      </c>
      <c r="B70" t="s">
        <v>66</v>
      </c>
      <c r="C70" t="s">
        <v>28</v>
      </c>
      <c r="D70" t="b">
        <v>0</v>
      </c>
      <c r="E70">
        <v>0.45850000000000002</v>
      </c>
    </row>
    <row r="72" spans="1:6" x14ac:dyDescent="0.35">
      <c r="A72" t="s">
        <v>55</v>
      </c>
      <c r="B72" t="s">
        <v>52</v>
      </c>
      <c r="C72" t="s">
        <v>40</v>
      </c>
      <c r="D72" t="b">
        <v>1</v>
      </c>
      <c r="E72">
        <v>0.3629</v>
      </c>
      <c r="F72" t="s">
        <v>31</v>
      </c>
    </row>
    <row r="73" spans="1:6" x14ac:dyDescent="0.35">
      <c r="A73" t="s">
        <v>55</v>
      </c>
      <c r="B73" t="s">
        <v>53</v>
      </c>
      <c r="C73" t="s">
        <v>40</v>
      </c>
      <c r="D73" t="b">
        <v>1</v>
      </c>
      <c r="E73">
        <v>0.35249999999999998</v>
      </c>
    </row>
    <row r="74" spans="1:6" x14ac:dyDescent="0.35">
      <c r="A74" t="s">
        <v>55</v>
      </c>
      <c r="B74" t="s">
        <v>57</v>
      </c>
      <c r="C74" t="s">
        <v>40</v>
      </c>
      <c r="D74" t="b">
        <v>1</v>
      </c>
      <c r="E74">
        <v>0.34960000000000002</v>
      </c>
    </row>
    <row r="75" spans="1:6" x14ac:dyDescent="0.35">
      <c r="A75" t="s">
        <v>55</v>
      </c>
      <c r="B75" t="s">
        <v>54</v>
      </c>
      <c r="C75" t="s">
        <v>40</v>
      </c>
      <c r="D75" t="b">
        <v>1</v>
      </c>
      <c r="E75">
        <v>0.35120000000000001</v>
      </c>
    </row>
    <row r="76" spans="1:6" x14ac:dyDescent="0.35">
      <c r="A76" t="s">
        <v>55</v>
      </c>
      <c r="B76" t="s">
        <v>66</v>
      </c>
      <c r="C76" t="s">
        <v>40</v>
      </c>
      <c r="D76" t="b">
        <v>1</v>
      </c>
      <c r="E76">
        <v>0.41610000000000003</v>
      </c>
      <c r="F76" t="s">
        <v>73</v>
      </c>
    </row>
    <row r="77" spans="1:6" x14ac:dyDescent="0.35">
      <c r="A77" t="s">
        <v>55</v>
      </c>
      <c r="B77" t="s">
        <v>67</v>
      </c>
      <c r="C77" t="s">
        <v>40</v>
      </c>
      <c r="D77" t="b">
        <v>1</v>
      </c>
      <c r="E77">
        <v>0.4133</v>
      </c>
    </row>
    <row r="78" spans="1:6" x14ac:dyDescent="0.35">
      <c r="A78" t="s">
        <v>55</v>
      </c>
      <c r="B78" t="s">
        <v>65</v>
      </c>
      <c r="C78" t="s">
        <v>40</v>
      </c>
      <c r="D78" t="b">
        <v>1</v>
      </c>
      <c r="E78">
        <v>0.40310000000000001</v>
      </c>
    </row>
    <row r="79" spans="1:6" x14ac:dyDescent="0.35">
      <c r="A79" t="s">
        <v>55</v>
      </c>
      <c r="B79" t="s">
        <v>68</v>
      </c>
      <c r="C79" t="s">
        <v>40</v>
      </c>
      <c r="D79" t="b">
        <v>1</v>
      </c>
      <c r="E79">
        <v>0.41270000000000001</v>
      </c>
      <c r="F79" t="s">
        <v>73</v>
      </c>
    </row>
    <row r="80" spans="1:6" x14ac:dyDescent="0.35">
      <c r="A80" t="s">
        <v>55</v>
      </c>
      <c r="B80" t="s">
        <v>69</v>
      </c>
      <c r="C80" t="s">
        <v>40</v>
      </c>
      <c r="D80" t="b">
        <v>1</v>
      </c>
      <c r="E80">
        <v>0.41020000000000001</v>
      </c>
    </row>
    <row r="81" spans="1:6" x14ac:dyDescent="0.35">
      <c r="A81" t="s">
        <v>55</v>
      </c>
      <c r="B81" t="s">
        <v>70</v>
      </c>
      <c r="C81" t="s">
        <v>40</v>
      </c>
      <c r="D81" t="b">
        <v>1</v>
      </c>
      <c r="E81">
        <v>0.37059999999999998</v>
      </c>
    </row>
    <row r="82" spans="1:6" x14ac:dyDescent="0.35">
      <c r="A82" t="s">
        <v>55</v>
      </c>
      <c r="B82" t="s">
        <v>71</v>
      </c>
      <c r="C82" t="s">
        <v>40</v>
      </c>
      <c r="D82" t="b">
        <v>1</v>
      </c>
      <c r="E82">
        <v>0.38819999999999999</v>
      </c>
    </row>
    <row r="83" spans="1:6" x14ac:dyDescent="0.35">
      <c r="A83" t="s">
        <v>55</v>
      </c>
      <c r="B83" t="s">
        <v>72</v>
      </c>
      <c r="C83" t="s">
        <v>40</v>
      </c>
      <c r="D83" t="b">
        <v>1</v>
      </c>
      <c r="E83">
        <v>0.37169999999999997</v>
      </c>
    </row>
    <row r="85" spans="1:6" x14ac:dyDescent="0.35">
      <c r="A85" t="s">
        <v>55</v>
      </c>
      <c r="B85" t="s">
        <v>52</v>
      </c>
      <c r="C85" t="s">
        <v>44</v>
      </c>
      <c r="D85" t="b">
        <v>1</v>
      </c>
      <c r="E85">
        <v>0.35220000000000001</v>
      </c>
      <c r="F85" t="s">
        <v>31</v>
      </c>
    </row>
    <row r="86" spans="1:6" x14ac:dyDescent="0.35">
      <c r="A86" t="s">
        <v>55</v>
      </c>
      <c r="B86" t="s">
        <v>58</v>
      </c>
      <c r="C86" t="s">
        <v>44</v>
      </c>
      <c r="D86" t="b">
        <v>1</v>
      </c>
      <c r="E86">
        <v>0.34110000000000001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Metadata/LabelInfo.xml><?xml version="1.0" encoding="utf-8"?>
<clbl:labelList xmlns:clbl="http://schemas.microsoft.com/office/2020/mipLabelMetadata">
  <clbl:label id="{219619fd-75dc-48cb-820d-8f683a95dd8b}" enabled="1" method="Privileged" siteId="{05c95b33-90ca-49d5-b644-288b930b912b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PRETRAINED_ON_TEST</vt:lpstr>
      <vt:lpstr>EXP_ON_EVAL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Esina, Svetlana</dc:creator>
  <cp:lastModifiedBy>Esina, Svetlana</cp:lastModifiedBy>
  <dcterms:created xsi:type="dcterms:W3CDTF">2015-06-05T18:17:20Z</dcterms:created>
  <dcterms:modified xsi:type="dcterms:W3CDTF">2026-09-11T19:20:44Z</dcterms:modified>
</cp:coreProperties>
</file>